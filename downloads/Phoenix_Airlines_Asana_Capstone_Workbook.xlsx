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09a2a8686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a16ad0ee564c9f"/>
    <x:sheet xmlns:r="http://schemas.openxmlformats.org/officeDocument/2006/relationships" name="P1 Asana Import" sheetId="2" r:id="Rec28b09d17c44264"/>
    <x:sheet xmlns:r="http://schemas.openxmlformats.org/officeDocument/2006/relationships" name="P1 Dependencies" sheetId="3" r:id="R7484f550e38c422f"/>
    <x:sheet xmlns:r="http://schemas.openxmlformats.org/officeDocument/2006/relationships" name="P2 Form Fields" sheetId="4" r:id="R4ecb1f8e8a014f9e"/>
    <x:sheet xmlns:r="http://schemas.openxmlformats.org/officeDocument/2006/relationships" name="P2 Rules" sheetId="5" r:id="R9b3917736ccf41f7"/>
    <x:sheet xmlns:r="http://schemas.openxmlformats.org/officeDocument/2006/relationships" name="P2 UAT" sheetId="6" r:id="R2d86840ebfd646bc"/>
    <x:sheet xmlns:r="http://schemas.openxmlformats.org/officeDocument/2006/relationships" name="Socialization" sheetId="7" r:id="R7acb45cbcfe745e6"/>
    <x:sheet xmlns:r="http://schemas.openxmlformats.org/officeDocument/2006/relationships" name="Metrics" sheetId="8" r:id="Re7bc48c871734bd1"/>
    <x:sheet xmlns:r="http://schemas.openxmlformats.org/officeDocument/2006/relationships" name="Build Checklist" sheetId="9" r:id="Rf807efa245c5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F2933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2"/>
      <x:color rgb="FF16324F"/>
      <x:name val="Carlito"/>
    </x:font>
    <x:font>
      <x:b/>
      <x:sz val="12"/>
      <x:color rgb="FF7B61A8"/>
      <x:name val="Carlito"/>
    </x:font>
    <x:font>
      <x:b/>
      <x:sz val="11"/>
      <x:color rgb="FF7B61A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2FA"/>
      </x:patternFill>
    </x:fill>
    <x:fill>
      <x:patternFill patternType="solid">
        <x:fgColor rgb="FF1F9D8A"/>
      </x:patternFill>
    </x:fill>
    <x:fill>
      <x:patternFill patternType="solid">
        <x:fgColor rgb="FF2E74B5"/>
      </x:patternFill>
    </x:fill>
    <x:fill>
      <x:patternFill patternType="solid">
        <x:fgColor rgb="FF7B61A8"/>
      </x:patternFill>
    </x:fill>
    <x:fill>
      <x:patternFill patternType="solid">
        <x:fgColor rgb="FFE7F5F2"/>
      </x:patternFill>
    </x:fill>
    <x:fill>
      <x:patternFill patternType="solid">
        <x:fgColor rgb="FFF0EBF7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200" fontId="6" fillId="7" borderId="0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5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200" fontId="8" fillId="8" borderId="0" xfId="0" applyNumberFormat="1" applyFont="1" applyFill="1" applyBorder="1" applyAlignment="1">
      <x:alignment horizontal="center"/>
    </x:xf>
    <x:xf numFmtId="202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7B61A8"/>
      </x:font>
      <x:fill>
        <x:patternFill patternType="solid">
          <x:bgColor rgb="FFF0EBF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d4c1ceadf4740" /><Relationship Type="http://schemas.openxmlformats.org/officeDocument/2006/relationships/theme" Target="/xl/theme/theme1.xml" Id="Rbd521979e8b64cb6" /><Relationship Type="http://schemas.openxmlformats.org/officeDocument/2006/relationships/sharedStrings" Target="/xl/sharedStrings.xml" Id="R4355346feab44485" /><Relationship Type="http://schemas.openxmlformats.org/officeDocument/2006/relationships/worksheet" Target="/xl/worksheets/sheet1.xml" Id="Raba16ad0ee564c9f" /><Relationship Type="http://schemas.openxmlformats.org/officeDocument/2006/relationships/worksheet" Target="/xl/worksheets/sheet2.xml" Id="Rec28b09d17c44264" /><Relationship Type="http://schemas.openxmlformats.org/officeDocument/2006/relationships/worksheet" Target="/xl/worksheets/sheet3.xml" Id="R7484f550e38c422f" /><Relationship Type="http://schemas.openxmlformats.org/officeDocument/2006/relationships/worksheet" Target="/xl/worksheets/sheet4.xml" Id="R4ecb1f8e8a014f9e" /><Relationship Type="http://schemas.openxmlformats.org/officeDocument/2006/relationships/worksheet" Target="/xl/worksheets/sheet5.xml" Id="R9b3917736ccf41f7" /><Relationship Type="http://schemas.openxmlformats.org/officeDocument/2006/relationships/worksheet" Target="/xl/worksheets/sheet6.xml" Id="R2d86840ebfd646bc" /><Relationship Type="http://schemas.openxmlformats.org/officeDocument/2006/relationships/worksheet" Target="/xl/worksheets/sheet7.xml" Id="R7acb45cbcfe745e6" /><Relationship Type="http://schemas.openxmlformats.org/officeDocument/2006/relationships/worksheet" Target="/xl/worksheets/sheet8.xml" Id="Re7bc48c871734bd1" /><Relationship Type="http://schemas.openxmlformats.org/officeDocument/2006/relationships/worksheet" Target="/xl/worksheets/sheet9.xml" Id="Rf807efa245c54d2e" /></Relationships>
</file>

<file path=xl/tables/table1.xml><?xml version="1.0" encoding="utf-8"?>
<x:table xmlns:x="http://schemas.openxmlformats.org/spreadsheetml/2006/main" id="1" name="ReadmeSummary" displayName="ReadmeSummary" ref="A6:H9" headerRowCount="1" totalsRowCount="0" totalsRowShown="0">
  <x:tableColumns count="8">
    <x:tableColumn id="1" name="Component"/>
    <x:tableColumn id="2" name="Purpose"/>
    <x:tableColumn id="3" name="Workflow type"/>
    <x:tableColumn id="4" name="Primary Asana object"/>
    <x:tableColumn id="5" name="Owner"/>
    <x:tableColumn id="6" name="Schedule"/>
    <x:tableColumn id="7" name="Sourc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1AsanaImportTable" displayName="P1AsanaImportTable" ref="A4:L31" headerRowCount="1" totalsRowCount="0" totalsRowShown="0">
  <x:tableColumns count="12">
    <x:tableColumn id="1" name="Task Name"/>
    <x:tableColumn id="2" name="Section"/>
    <x:tableColumn id="3" name="Assignee"/>
    <x:tableColumn id="4" name="Due Date"/>
    <x:tableColumn id="5" name="Description"/>
    <x:tableColumn id="6" name="Priority"/>
    <x:tableColumn id="7" name="Work Status"/>
    <x:tableColumn id="8" name="Workstream"/>
    <x:tableColumn id="9" name="Risk Level"/>
    <x:tableColumn id="10" name="Budget Health"/>
    <x:tableColumn id="11" name="Task Type"/>
    <x:tableColumn id="12" name="Source Re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1DependencyTable" displayName="P1DependencyTable" ref="A4:E33" headerRowCount="1" totalsRowCount="0" totalsRowShown="0">
  <x:tableColumns count="5">
    <x:tableColumn id="1" name="ID"/>
    <x:tableColumn id="2" name="Successor"/>
    <x:tableColumn id="3" name="Predecessor"/>
    <x:tableColumn id="4" name="Relationship"/>
    <x:tableColumn id="5" name="Reason / valid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2FormFieldTable" displayName="P2FormFieldTable" ref="A4:H15" headerRowCount="1" totalsRowCount="0" totalsRowShown="0">
  <x:tableColumns count="8">
    <x:tableColumn id="1" name="Order"/>
    <x:tableColumn id="2" name="Form question / field"/>
    <x:tableColumn id="3" name="Required"/>
    <x:tableColumn id="4" name="Question type"/>
    <x:tableColumn id="5" name="Map to"/>
    <x:tableColumn id="6" name="Options / branch"/>
    <x:tableColumn id="7" name="Help text"/>
    <x:tableColumn id="8" name="Source / deci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2RuleRegister" displayName="P2RuleRegister" ref="A4:H15" headerRowCount="1" totalsRowCount="0" totalsRowShown="0">
  <x:tableColumns count="8">
    <x:tableColumn id="1" name="Rule ID"/>
    <x:tableColumn id="2" name="Rule name"/>
    <x:tableColumn id="3" name="Trigger"/>
    <x:tableColumn id="4" name="Condition"/>
    <x:tableColumn id="5" name="Actions"/>
    <x:tableColumn id="6" name="Owner"/>
    <x:tableColumn id="7" name="UAT status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2UATTable" displayName="P2UATTable" ref="A5:I15" headerRowCount="1" totalsRowCount="0" totalsRowShown="0">
  <x:tableColumns count="9">
    <x:tableColumn id="1" name="Test ID"/>
    <x:tableColumn id="2" name="Scenario"/>
    <x:tableColumn id="3" name="Steps"/>
    <x:tableColumn id="4" name="Expected result"/>
    <x:tableColumn id="5" name="Actual result"/>
    <x:tableColumn id="6" name="Status"/>
    <x:tableColumn id="7" name="Tester"/>
    <x:tableColumn id="8" name="Test date"/>
    <x:tableColumn id="9" name="Evidence lin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cializationPlan" displayName="SocializationPlan" ref="A4:H13" headerRowCount="1" totalsRowCount="0" totalsRowShown="0">
  <x:tableColumns count="8">
    <x:tableColumn id="1" name="Date"/>
    <x:tableColumn id="2" name="Phase"/>
    <x:tableColumn id="3" name="Audience"/>
    <x:tableColumn id="4" name="Activity"/>
    <x:tableColumn id="5" name="Owner"/>
    <x:tableColumn id="6" name="Channel"/>
    <x:tableColumn id="7" name="Evidence / output"/>
    <x:tableColumn id="8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Register" displayName="MetricsRegister" ref="A4:H11" headerRowCount="1" totalsRowCount="0" totalsRowShown="0">
  <x:tableColumns count="8">
    <x:tableColumn id="1" name="Metric"/>
    <x:tableColumn id="2" name="Definition"/>
    <x:tableColumn id="3" name="Direction"/>
    <x:tableColumn id="4" name="Target"/>
    <x:tableColumn id="5" name="Unit"/>
    <x:tableColumn id="6" name="Baseline"/>
    <x:tableColumn id="7" name="Actual"/>
    <x:tableColumn id="8" name="RAG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sanaBuildChecklist" displayName="AsanaBuildChecklist" ref="A4:G25" headerRowCount="1" totalsRowCount="0" totalsRowShown="0">
  <x:tableColumns count="7">
    <x:tableColumn id="1" name="Step"/>
    <x:tableColumn id="2" name="Workflow"/>
    <x:tableColumn id="3" name="Asana location"/>
    <x:tableColumn id="4" name="Action"/>
    <x:tableColumn id="5" name="Status"/>
    <x:tableColumn id="6" name="Evidence link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a319a4588d4b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2a2446fc8a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20dc7d706044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a5f234b64840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3d32d90383f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f6ee39aab3249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fdbfeef27e646b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151aec103b043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3979701e9b44da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Phoenix Airlines — Asana Capstone Implementation Workbook</x:v>
      </x:c>
      <x:c r="B1" s="4" t="str">
        <x:v>Phoenix Airlines — Asana Capstone Implementation Workbook</x:v>
      </x:c>
      <x:c r="C1" s="4" t="str">
        <x:v>Phoenix Airlines — Asana Capstone Implementation Workbook</x:v>
      </x:c>
      <x:c r="D1" s="4" t="str">
        <x:v>Phoenix Airlines — Asana Capstone Implementation Workbook</x:v>
      </x:c>
      <x:c r="E1" s="4" t="str">
        <x:v>Phoenix Airlines — Asana Capstone Implementation Workbook</x:v>
      </x:c>
      <x:c r="F1" s="4" t="str">
        <x:v>Phoenix Airlines — Asana Capstone Implementation Workbook</x:v>
      </x:c>
      <x:c r="G1" s="4" t="str">
        <x:v>Phoenix Airlines — Asana Capstone Implementation Workbook</x:v>
      </x:c>
      <x:c r="H1" s="4" t="str">
        <x:v>Phoenix Airlines — Asana Capstone Implementation Workbook</x:v>
      </x:c>
    </x:row>
    <x:row r="2" ht="34" customHeight="1">
      <x:c r="A2" s="4" t="str">
        <x:v>Phoenix Airlines — Asana Capstone Implementation Workbook</x:v>
      </x:c>
      <x:c r="B2" s="4" t="str">
        <x:v>Phoenix Airlines — Asana Capstone Implementation Workbook</x:v>
      </x:c>
      <x:c r="C2" s="4" t="str">
        <x:v>Phoenix Airlines — Asana Capstone Implementation Workbook</x:v>
      </x:c>
      <x:c r="D2" s="4" t="str">
        <x:v>Phoenix Airlines — Asana Capstone Implementation Workbook</x:v>
      </x:c>
      <x:c r="E2" s="4" t="str">
        <x:v>Phoenix Airlines — Asana Capstone Implementation Workbook</x:v>
      </x:c>
      <x:c r="F2" s="4" t="str">
        <x:v>Phoenix Airlines — Asana Capstone Implementation Workbook</x:v>
      </x:c>
      <x:c r="G2" s="4" t="str">
        <x:v>Phoenix Airlines — Asana Capstone Implementation Workbook</x:v>
      </x:c>
      <x:c r="H2" s="4" t="str">
        <x:v>Phoenix Airlines — Asana Capstone Implementation Workbook</x:v>
      </x:c>
    </x:row>
    <x:row r="3" ht="28" customHeight="1">
      <x:c r="A3" s="8" t="str">
        <x:v>Use this workbook with the portfolio guide. Replace role placeholders, validate dates, and test every rule before publishing in a live workspace.</x:v>
      </x:c>
      <x:c r="B3" s="8" t="str">
        <x:v>Use this workbook with the portfolio guide. Replace role placeholders, validate dates, and test every rule before publishing in a live workspace.</x:v>
      </x:c>
      <x:c r="C3" s="8" t="str">
        <x:v>Use this workbook with the portfolio guide. Replace role placeholders, validate dates, and test every rule before publishing in a live workspace.</x:v>
      </x:c>
      <x:c r="D3" s="8" t="str">
        <x:v>Use this workbook with the portfolio guide. Replace role placeholders, validate dates, and test every rule before publishing in a live workspace.</x:v>
      </x:c>
      <x:c r="E3" s="8" t="str">
        <x:v>Use this workbook with the portfolio guide. Replace role placeholders, validate dates, and test every rule before publishing in a live workspace.</x:v>
      </x:c>
      <x:c r="F3" s="8" t="str">
        <x:v>Use this workbook with the portfolio guide. Replace role placeholders, validate dates, and test every rule before publishing in a live workspace.</x:v>
      </x:c>
      <x:c r="G3" s="8" t="str">
        <x:v>Use this workbook with the portfolio guide. Replace role placeholders, validate dates, and test every rule before publishing in a live workspace.</x:v>
      </x:c>
      <x:c r="H3" s="8" t="str">
        <x:v>Use this workbook with the portfolio guide. Replace role placeholders, validate dates, and test every rule before publishing in a live workspace.</x:v>
      </x:c>
    </x:row>
    <x:row r="5">
      <x:c r="A5" s="10" t="str">
        <x:v>Portfolio design summary</x:v>
      </x:c>
      <x:c r="B5" s="10" t="str">
        <x:v>Portfolio design summary</x:v>
      </x:c>
      <x:c r="C5" s="10" t="str">
        <x:v>Portfolio design summary</x:v>
      </x:c>
      <x:c r="D5" s="10" t="str">
        <x:v>Portfolio design summary</x:v>
      </x:c>
      <x:c r="E5" s="10" t="str">
        <x:v>Portfolio design summary</x:v>
      </x:c>
      <x:c r="F5" s="10" t="str">
        <x:v>Portfolio design summary</x:v>
      </x:c>
      <x:c r="G5" s="10" t="str">
        <x:v>Portfolio design summary</x:v>
      </x:c>
      <x:c r="H5" s="10" t="str">
        <x:v>Portfolio design summary</x:v>
      </x:c>
    </x:row>
    <x:row r="6" ht="30" customHeight="1">
      <x:c r="A6" s="15" t="str">
        <x:v>Component</x:v>
      </x:c>
      <x:c r="B6" s="15" t="str">
        <x:v>Purpose</x:v>
      </x:c>
      <x:c r="C6" s="15" t="str">
        <x:v>Workflow type</x:v>
      </x:c>
      <x:c r="D6" s="15" t="str">
        <x:v>Primary Asana object</x:v>
      </x:c>
      <x:c r="E6" s="15" t="str">
        <x:v>Owner</x:v>
      </x:c>
      <x:c r="F6" s="15" t="str">
        <x:v>Schedule</x:v>
      </x:c>
      <x:c r="G6" s="15" t="str">
        <x:v>Source</x:v>
      </x:c>
      <x:c r="H6" s="15" t="str">
        <x:v>Status</x:v>
      </x:c>
    </x:row>
    <x:row r="7">
      <x:c r="A7" s="18" t="str">
        <x:v>Biometric Boarding &amp; Security Launch</x:v>
      </x:c>
      <x:c r="B7" s="18" t="str">
        <x:v>Plan and govern a secure passenger-processing launch.</x:v>
      </x:c>
      <x:c r="C7" s="18" t="str">
        <x:v>Deadline-bound</x:v>
      </x:c>
      <x:c r="D7" s="18" t="str">
        <x:v>Project</x:v>
      </x:c>
      <x:c r="E7" s="18" t="str">
        <x:v>David Smith</x:v>
      </x:c>
      <x:c r="F7" s="18" t="str">
        <x:v>7 Sep–6 Nov 2026</x:v>
      </x:c>
      <x:c r="G7" s="18" t="str">
        <x:v>Supplied workbook + enhancements</x:v>
      </x:c>
      <x:c r="H7" s="18" t="str">
        <x:v>Ready to build</x:v>
      </x:c>
    </x:row>
    <x:row r="8">
      <x:c r="A8" s="18" t="str">
        <x:v>Project Request &amp; Approval</x:v>
      </x:c>
      <x:c r="B8" s="18" t="str">
        <x:v>Capture, assess, resource, decide, and notify consistently.</x:v>
      </x:c>
      <x:c r="C8" s="18" t="str">
        <x:v>Ongoing process</x:v>
      </x:c>
      <x:c r="D8" s="18" t="str">
        <x:v>Board project + form</x:v>
      </x:c>
      <x:c r="E8" s="18" t="str">
        <x:v>Mark Thompson / PMO</x:v>
      </x:c>
      <x:c r="F8" s="18" t="str">
        <x:v>Launch 2 Sep 2026</x:v>
      </x:c>
      <x:c r="G8" s="18" t="str">
        <x:v>Supplied process map + discovery</x:v>
      </x:c>
      <x:c r="H8" s="18" t="str">
        <x:v>Ready to build</x:v>
      </x:c>
    </x:row>
    <x:row r="9">
      <x:c r="A9" s="18" t="str">
        <x:v>Adoption &amp; Enablement</x:v>
      </x:c>
      <x:c r="B9" s="18" t="str">
        <x:v>Socialize, train, launch, support, and measure adoption.</x:v>
      </x:c>
      <x:c r="C9" s="18" t="str">
        <x:v>Change workstream</x:v>
      </x:c>
      <x:c r="D9" s="18" t="str">
        <x:v>Project</x:v>
      </x:c>
      <x:c r="E9" s="18" t="str">
        <x:v>PMO + champions</x:v>
      </x:c>
      <x:c r="F9" s="18" t="str">
        <x:v>25 Aug–2 Oct 2026</x:v>
      </x:c>
      <x:c r="G9" s="18" t="str">
        <x:v>Discovery requirements</x:v>
      </x:c>
      <x:c r="H9" s="18" t="str">
        <x:v>Ready to build</x:v>
      </x:c>
    </x:row>
    <x:row r="11">
      <x:c r="A11" s="20" t="str">
        <x:v>Live workbook checks</x:v>
      </x:c>
      <x:c r="B11" s="20" t="str">
        <x:v>Live workbook checks</x:v>
      </x:c>
      <x:c r="C11" s="20" t="str">
        <x:v>Live workbook checks</x:v>
      </x:c>
      <x:c r="D11" s="20" t="str">
        <x:v>Live workbook checks</x:v>
      </x:c>
      <x:c r="E11" s="20" t="str">
        <x:v>Live workbook checks</x:v>
      </x:c>
      <x:c r="F11" s="20" t="str">
        <x:v>Live workbook checks</x:v>
      </x:c>
      <x:c r="G11" s="20" t="str">
        <x:v>Live workbook checks</x:v>
      </x:c>
      <x:c r="H11" s="20" t="str">
        <x:v>Live workbook checks</x:v>
      </x:c>
    </x:row>
    <x:row r="12" ht="30" customHeight="1">
      <x:c r="A12" s="24" t="str">
        <x:v>P1 tasks</x:v>
      </x:c>
      <x:c r="B12" s="24" t="str">
        <x:v>P1 milestones</x:v>
      </x:c>
      <x:c r="C12" s="24" t="str">
        <x:v>P2 rules</x:v>
      </x:c>
      <x:c r="D12" s="24" t="str">
        <x:v>P2 UAT cases</x:v>
      </x:c>
      <x:c r="E12" s="24" t="str">
        <x:v>Build complete</x:v>
      </x:c>
      <x:c r="F12" s="24" t="str">
        <x:v>Build total</x:v>
      </x:c>
      <x:c r="G12" s="24" t="str">
        <x:v>Readiness</x:v>
      </x:c>
      <x:c r="H12" s="24" t="str">
        <x:v>Last reviewed</x:v>
      </x:c>
    </x:row>
    <x:row r="13">
      <x:c r="A13" s="27" t="n">
        <x:f>COUNTA('P1 Asana Import'!A5:A31)</x:f>
        <x:v>27</x:v>
      </x:c>
      <x:c r="B13" s="27" t="n">
        <x:f>COUNTIF('P1 Asana Import'!K5:K31,"Milestone")</x:f>
        <x:v>10</x:v>
      </x:c>
      <x:c r="C13" s="27" t="n">
        <x:f>COUNTA('P2 Rules'!A5:A15)</x:f>
        <x:v>11</x:v>
      </x:c>
      <x:c r="D13" s="27" t="n">
        <x:f>COUNTA('P2 UAT'!A6:A15)</x:f>
        <x:v>10</x:v>
      </x:c>
      <x:c r="E13" s="27" t="n">
        <x:f>COUNTIF('Build Checklist'!E5:E25,"Complete")</x:f>
        <x:v>0</x:v>
      </x:c>
      <x:c r="F13" s="27" t="n">
        <x:f>COUNTA('Build Checklist'!A5:A25)</x:f>
        <x:v>21</x:v>
      </x:c>
      <x:c r="G13" s="28" t="n">
        <x:f>IF(F13=0,0,E13/F13)</x:f>
        <x:v>0</x:v>
      </x:c>
      <x:c r="H13" s="29" t="n">
        <x:f>TODAY()</x:f>
        <x:v>46259</x:v>
      </x:c>
    </x:row>
    <x:row r="15">
      <x:c r="A15" s="30" t="str">
        <x:v>How to use the P1 import sheet</x:v>
      </x:c>
      <x:c r="B15" s="30" t="str">
        <x:v>How to use the P1 import sheet</x:v>
      </x:c>
      <x:c r="C15" s="30" t="str">
        <x:v>How to use the P1 import sheet</x:v>
      </x:c>
      <x:c r="D15" s="30" t="str">
        <x:v>How to use the P1 import sheet</x:v>
      </x:c>
      <x:c r="E15" s="30" t="str">
        <x:v>How to use the P1 import sheet</x:v>
      </x:c>
      <x:c r="F15" s="30" t="str">
        <x:v>How to use the P1 import sheet</x:v>
      </x:c>
      <x:c r="G15" s="30" t="str">
        <x:v>How to use the P1 import sheet</x:v>
      </x:c>
      <x:c r="H15" s="30" t="str">
        <x:v>How to use the P1 import sheet</x:v>
      </x:c>
    </x:row>
    <x:row r="16">
      <x:c r="A16" s="34" t="str">
        <x:v>1</x:v>
      </x:c>
      <x:c r="B16" s="18" t="str">
        <x:v>Review</x:v>
      </x:c>
      <x:c r="C16" s="18" t="str">
        <x:v>Replace every role/name placeholder with an exact Asana workspace member or email.</x:v>
      </x:c>
      <x:c r="D16" s="18"/>
      <x:c r="E16" s="18"/>
      <x:c r="F16" s="18"/>
      <x:c r="G16" s="18"/>
      <x:c r="H16" s="18"/>
    </x:row>
    <x:row r="17">
      <x:c r="A17" s="34" t="str">
        <x:v>2</x:v>
      </x:c>
      <x:c r="B17" s="18" t="str">
        <x:v>Export</x:v>
      </x:c>
      <x:c r="C17" s="18" t="str">
        <x:v>Save only the P1 Asana Import sheet as CSV UTF-8 if required by your Asana workspace.</x:v>
      </x:c>
      <x:c r="D17" s="18"/>
      <x:c r="E17" s="18"/>
      <x:c r="F17" s="18"/>
      <x:c r="G17" s="18"/>
      <x:c r="H17" s="18"/>
    </x:row>
    <x:row r="18">
      <x:c r="A18" s="34" t="str">
        <x:v>3</x:v>
      </x:c>
      <x:c r="B18" s="18" t="str">
        <x:v>Import</x:v>
      </x:c>
      <x:c r="C18" s="18" t="str">
        <x:v>Create a blank List project and use Import → CSV / spreadsheet.</x:v>
      </x:c>
      <x:c r="D18" s="18"/>
      <x:c r="E18" s="18"/>
      <x:c r="F18" s="18"/>
      <x:c r="G18" s="18"/>
      <x:c r="H18" s="18"/>
    </x:row>
    <x:row r="19">
      <x:c r="A19" s="34" t="str">
        <x:v>4</x:v>
      </x:c>
      <x:c r="B19" s="18" t="str">
        <x:v>Map</x:v>
      </x:c>
      <x:c r="C19" s="18" t="str">
        <x:v>Map Task Name, Section, Assignee, Due Date, Description, and custom-field columns.</x:v>
      </x:c>
      <x:c r="D19" s="18"/>
      <x:c r="E19" s="18"/>
      <x:c r="F19" s="18"/>
      <x:c r="G19" s="18"/>
      <x:c r="H19" s="18"/>
    </x:row>
    <x:row r="20">
      <x:c r="A20" s="34" t="str">
        <x:v>5</x:v>
      </x:c>
      <x:c r="B20" s="18" t="str">
        <x:v>Enrich</x:v>
      </x:c>
      <x:c r="C20" s="18" t="str">
        <x:v>After import, manually mark milestone rows and create the dependencies listed on the P1 Dependencies sheet.</x:v>
      </x:c>
      <x:c r="D20" s="18"/>
      <x:c r="E20" s="18"/>
      <x:c r="F20" s="18"/>
      <x:c r="G20" s="18"/>
      <x:c r="H20" s="18"/>
    </x:row>
  </x:sheetData>
  <x:mergeCells>
    <x:mergeCell ref="A1:H2"/>
    <x:mergeCell ref="A3:H3"/>
    <x:mergeCell ref="A5:H5"/>
    <x:mergeCell ref="A11:H11"/>
    <x:mergeCell ref="A15:H15"/>
    <x:mergeCell ref="C16:H16"/>
    <x:mergeCell ref="C17:H17"/>
    <x:mergeCell ref="C18:H18"/>
    <x:mergeCell ref="C19:H19"/>
    <x:mergeCell ref="C20:H20"/>
  </x:mergeCells>
  <x:conditionalFormatting sqref="G13:G13">
    <x:cfRule type="colorScale" priority="1">
      <x:colorScale>
        <x:cfvo type="min"/>
        <x:cfvo type="percentile" val="50"/>
        <x:cfvo type="max"/>
        <x:color rgb="FFFEE4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0a319a4588d4b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5" hidden="0" customWidth="1"/>
    <x:col min="3" max="3" width="20" hidden="0" customWidth="1"/>
    <x:col min="4" max="4" width="13" hidden="0" customWidth="1"/>
    <x:col min="5" max="5" width="5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</x:cols>
  <x:sheetData>
    <x:row r="1" ht="34" customHeight="1">
      <x:c r="A1" s="4" t="str">
        <x:v>Project 1 — Biometric Boarding &amp; Security Launch</x:v>
      </x:c>
      <x:c r="B1" s="4" t="str">
        <x:v>Project 1 — Biometric Boarding &amp; Security Launch</x:v>
      </x:c>
      <x:c r="C1" s="4" t="str">
        <x:v>Project 1 — Biometric Boarding &amp; Security Launch</x:v>
      </x:c>
      <x:c r="D1" s="4" t="str">
        <x:v>Project 1 — Biometric Boarding &amp; Security Launch</x:v>
      </x:c>
      <x:c r="E1" s="4" t="str">
        <x:v>Project 1 — Biometric Boarding &amp; Security Launch</x:v>
      </x:c>
      <x:c r="F1" s="4" t="str">
        <x:v>Project 1 — Biometric Boarding &amp; Security Launch</x:v>
      </x:c>
      <x:c r="G1" s="4" t="str">
        <x:v>Project 1 — Biometric Boarding &amp; Security Launch</x:v>
      </x:c>
      <x:c r="H1" s="4" t="str">
        <x:v>Project 1 — Biometric Boarding &amp; Security Launch</x:v>
      </x:c>
      <x:c r="I1" s="4" t="str">
        <x:v>Project 1 — Biometric Boarding &amp; Security Launch</x:v>
      </x:c>
      <x:c r="J1" s="4" t="str">
        <x:v>Project 1 — Biometric Boarding &amp; Security Launch</x:v>
      </x:c>
      <x:c r="K1" s="4" t="str">
        <x:v>Project 1 — Biometric Boarding &amp; Security Launch</x:v>
      </x:c>
      <x:c r="L1" s="4" t="str">
        <x:v>Project 1 — Biometric Boarding &amp; Security Launch</x:v>
      </x:c>
    </x:row>
    <x:row r="2" ht="34" customHeight="1">
      <x:c r="A2" s="4" t="str">
        <x:v>Project 1 — Biometric Boarding &amp; Security Launch</x:v>
      </x:c>
      <x:c r="B2" s="4" t="str">
        <x:v>Project 1 — Biometric Boarding &amp; Security Launch</x:v>
      </x:c>
      <x:c r="C2" s="4" t="str">
        <x:v>Project 1 — Biometric Boarding &amp; Security Launch</x:v>
      </x:c>
      <x:c r="D2" s="4" t="str">
        <x:v>Project 1 — Biometric Boarding &amp; Security Launch</x:v>
      </x:c>
      <x:c r="E2" s="4" t="str">
        <x:v>Project 1 — Biometric Boarding &amp; Security Launch</x:v>
      </x:c>
      <x:c r="F2" s="4" t="str">
        <x:v>Project 1 — Biometric Boarding &amp; Security Launch</x:v>
      </x:c>
      <x:c r="G2" s="4" t="str">
        <x:v>Project 1 — Biometric Boarding &amp; Security Launch</x:v>
      </x:c>
      <x:c r="H2" s="4" t="str">
        <x:v>Project 1 — Biometric Boarding &amp; Security Launch</x:v>
      </x:c>
      <x:c r="I2" s="4" t="str">
        <x:v>Project 1 — Biometric Boarding &amp; Security Launch</x:v>
      </x:c>
      <x:c r="J2" s="4" t="str">
        <x:v>Project 1 — Biometric Boarding &amp; Security Launch</x:v>
      </x:c>
      <x:c r="K2" s="4" t="str">
        <x:v>Project 1 — Biometric Boarding &amp; Security Launch</x:v>
      </x:c>
      <x:c r="L2" s="4" t="str">
        <x:v>Project 1 — Biometric Boarding &amp; Security Launch</x:v>
      </x:c>
    </x:row>
    <x:row r="3" ht="28" customHeight="1">
      <x:c r="A3" s="8" t="str">
        <x:v>Import-ready work plan. Source-workbook items are retained; additional controls complete the privacy, security, pilot, launch, and handover lifecycle.</x:v>
      </x:c>
      <x:c r="B3" s="8" t="str">
        <x:v>Import-ready work plan. Source-workbook items are retained; additional controls complete the privacy, security, pilot, launch, and handover lifecycle.</x:v>
      </x:c>
      <x:c r="C3" s="8" t="str">
        <x:v>Import-ready work plan. Source-workbook items are retained; additional controls complete the privacy, security, pilot, launch, and handover lifecycle.</x:v>
      </x:c>
      <x:c r="D3" s="8" t="str">
        <x:v>Import-ready work plan. Source-workbook items are retained; additional controls complete the privacy, security, pilot, launch, and handover lifecycle.</x:v>
      </x:c>
      <x:c r="E3" s="8" t="str">
        <x:v>Import-ready work plan. Source-workbook items are retained; additional controls complete the privacy, security, pilot, launch, and handover lifecycle.</x:v>
      </x:c>
      <x:c r="F3" s="8" t="str">
        <x:v>Import-ready work plan. Source-workbook items are retained; additional controls complete the privacy, security, pilot, launch, and handover lifecycle.</x:v>
      </x:c>
      <x:c r="G3" s="8" t="str">
        <x:v>Import-ready work plan. Source-workbook items are retained; additional controls complete the privacy, security, pilot, launch, and handover lifecycle.</x:v>
      </x:c>
      <x:c r="H3" s="8" t="str">
        <x:v>Import-ready work plan. Source-workbook items are retained; additional controls complete the privacy, security, pilot, launch, and handover lifecycle.</x:v>
      </x:c>
      <x:c r="I3" s="8" t="str">
        <x:v>Import-ready work plan. Source-workbook items are retained; additional controls complete the privacy, security, pilot, launch, and handover lifecycle.</x:v>
      </x:c>
      <x:c r="J3" s="8" t="str">
        <x:v>Import-ready work plan. Source-workbook items are retained; additional controls complete the privacy, security, pilot, launch, and handover lifecycle.</x:v>
      </x:c>
      <x:c r="K3" s="8" t="str">
        <x:v>Import-ready work plan. Source-workbook items are retained; additional controls complete the privacy, security, pilot, launch, and handover lifecycle.</x:v>
      </x:c>
      <x:c r="L3" s="8" t="str">
        <x:v>Import-ready work plan. Source-workbook items are retained; additional controls complete the privacy, security, pilot, launch, and handover lifecycle.</x:v>
      </x:c>
    </x:row>
    <x:row r="4" ht="30" customHeight="1">
      <x:c r="A4" s="15" t="str">
        <x:v>Task Name</x:v>
      </x:c>
      <x:c r="B4" s="15" t="str">
        <x:v>Section</x:v>
      </x:c>
      <x:c r="C4" s="15" t="str">
        <x:v>Assignee</x:v>
      </x:c>
      <x:c r="D4" s="15" t="str">
        <x:v>Due Date</x:v>
      </x:c>
      <x:c r="E4" s="15" t="str">
        <x:v>Description</x:v>
      </x:c>
      <x:c r="F4" s="15" t="str">
        <x:v>Priority</x:v>
      </x:c>
      <x:c r="G4" s="15" t="str">
        <x:v>Work Status</x:v>
      </x:c>
      <x:c r="H4" s="15" t="str">
        <x:v>Workstream</x:v>
      </x:c>
      <x:c r="I4" s="15" t="str">
        <x:v>Risk Level</x:v>
      </x:c>
      <x:c r="J4" s="15" t="str">
        <x:v>Budget Health</x:v>
      </x:c>
      <x:c r="K4" s="15" t="str">
        <x:v>Task Type</x:v>
      </x:c>
      <x:c r="L4" s="15" t="str">
        <x:v>Source Reference</x:v>
      </x:c>
    </x:row>
    <x:row r="5">
      <x:c r="A5" s="18" t="str">
        <x:v>Conduct project kickoff meeting</x:v>
      </x:c>
      <x:c r="B5" s="18" t="str">
        <x:v>Initiation &amp; Research</x:v>
      </x:c>
      <x:c r="C5" s="18" t="str">
        <x:v>David Smith</x:v>
      </x:c>
      <x:c r="D5" s="35" t="n">
        <x:v>46272</x:v>
      </x:c>
      <x:c r="E5" s="18" t="str">
        <x:v>Confirm charter, stakeholders, governance, meeting cadence, success criteria, and project communication channels.</x:v>
      </x:c>
      <x:c r="F5" s="18" t="str">
        <x:v>Low</x:v>
      </x:c>
      <x:c r="G5" s="18" t="str">
        <x:v>Not Started</x:v>
      </x:c>
      <x:c r="H5" s="18" t="str">
        <x:v>PMO</x:v>
      </x:c>
      <x:c r="I5" s="18" t="str">
        <x:v>Low</x:v>
      </x:c>
      <x:c r="J5" s="18" t="str">
        <x:v>Not Assessed</x:v>
      </x:c>
      <x:c r="K5" s="18" t="str">
        <x:v>Task</x:v>
      </x:c>
      <x:c r="L5" s="18" t="str">
        <x:v>Source Item 1</x:v>
      </x:c>
    </x:row>
    <x:row r="6">
      <x:c r="A6" s="18" t="str">
        <x:v>Research available biometric technologies</x:v>
      </x:c>
      <x:c r="B6" s="18" t="str">
        <x:v>Initiation &amp; Research</x:v>
      </x:c>
      <x:c r="C6" s="18" t="str">
        <x:v>Ryan Patel</x:v>
      </x:c>
      <x:c r="D6" s="35" t="n">
        <x:v>46276</x:v>
      </x:c>
      <x:c r="E6" s="18" t="str">
        <x:v>Compare facial, fingerprint, liveness, integration, security, accessibility, and passenger-experience options.</x:v>
      </x:c>
      <x:c r="F6" s="18" t="str">
        <x:v>Medium</x:v>
      </x:c>
      <x:c r="G6" s="18" t="str">
        <x:v>Not Started</x:v>
      </x:c>
      <x:c r="H6" s="18" t="str">
        <x:v>Technology</x:v>
      </x:c>
      <x:c r="I6" s="18" t="str">
        <x:v>Medium</x:v>
      </x:c>
      <x:c r="J6" s="18" t="str">
        <x:v>Not Assessed</x:v>
      </x:c>
      <x:c r="K6" s="18" t="str">
        <x:v>Task</x:v>
      </x:c>
      <x:c r="L6" s="18" t="str">
        <x:v>Source Item 2</x:v>
      </x:c>
    </x:row>
    <x:row r="7">
      <x:c r="A7" s="18" t="str">
        <x:v>Research and analysis complete</x:v>
      </x:c>
      <x:c r="B7" s="18" t="str">
        <x:v>Initiation &amp; Research</x:v>
      </x:c>
      <x:c r="C7" s="18" t="str">
        <x:v>David Smith</x:v>
      </x:c>
      <x:c r="D7" s="35" t="n">
        <x:v>46279</x:v>
      </x:c>
      <x:c r="E7" s="18" t="str">
        <x:v>Select the top three viable vendors/approaches and document recommendation criteria.</x:v>
      </x:c>
      <x:c r="F7" s="18" t="str">
        <x:v>Low</x:v>
      </x:c>
      <x:c r="G7" s="18" t="str">
        <x:v>Not Started</x:v>
      </x:c>
      <x:c r="H7" s="18" t="str">
        <x:v>PMO</x:v>
      </x:c>
      <x:c r="I7" s="18" t="str">
        <x:v>Low</x:v>
      </x:c>
      <x:c r="J7" s="18" t="str">
        <x:v>Not Assessed</x:v>
      </x:c>
      <x:c r="K7" s="18" t="str">
        <x:v>Milestone</x:v>
      </x:c>
      <x:c r="L7" s="18" t="str">
        <x:v>Source milestone</x:v>
      </x:c>
    </x:row>
    <x:row r="8">
      <x:c r="A8" s="18" t="str">
        <x:v>Complete vendor selection</x:v>
      </x:c>
      <x:c r="B8" s="18" t="str">
        <x:v>Vendor &amp; Compliance</x:v>
      </x:c>
      <x:c r="C8" s="18" t="str">
        <x:v>David Smith</x:v>
      </x:c>
      <x:c r="D8" s="35" t="n">
        <x:v>46281</x:v>
      </x:c>
      <x:c r="E8" s="18" t="str">
        <x:v>Apply the vendor checklist, perform due diligence, and recommend the preferred supplier.</x:v>
      </x:c>
      <x:c r="F8" s="18" t="str">
        <x:v>Medium</x:v>
      </x:c>
      <x:c r="G8" s="18" t="str">
        <x:v>Not Started</x:v>
      </x:c>
      <x:c r="H8" s="18" t="str">
        <x:v>Vendor</x:v>
      </x:c>
      <x:c r="I8" s="18" t="str">
        <x:v>Medium</x:v>
      </x:c>
      <x:c r="J8" s="18" t="str">
        <x:v>Not Assessed</x:v>
      </x:c>
      <x:c r="K8" s="18" t="str">
        <x:v>Task</x:v>
      </x:c>
      <x:c r="L8" s="18" t="str">
        <x:v>Source Item 3</x:v>
      </x:c>
    </x:row>
    <x:row r="9">
      <x:c r="A9" s="18" t="str">
        <x:v>Vendor selected and confirmed</x:v>
      </x:c>
      <x:c r="B9" s="18" t="str">
        <x:v>Vendor &amp; Compliance</x:v>
      </x:c>
      <x:c r="C9" s="18" t="str">
        <x:v>Mark Thompson</x:v>
      </x:c>
      <x:c r="D9" s="35" t="n">
        <x:v>46283</x:v>
      </x:c>
      <x:c r="E9" s="18" t="str">
        <x:v>Record final vendor approval and contracting path.</x:v>
      </x:c>
      <x:c r="F9" s="18" t="str">
        <x:v>Medium</x:v>
      </x:c>
      <x:c r="G9" s="18" t="str">
        <x:v>Not Started</x:v>
      </x:c>
      <x:c r="H9" s="18" t="str">
        <x:v>Vendor</x:v>
      </x:c>
      <x:c r="I9" s="18" t="str">
        <x:v>Medium</x:v>
      </x:c>
      <x:c r="J9" s="18" t="str">
        <x:v>Not Assessed</x:v>
      </x:c>
      <x:c r="K9" s="18" t="str">
        <x:v>Milestone</x:v>
      </x:c>
      <x:c r="L9" s="18" t="str">
        <x:v>Source milestone</x:v>
      </x:c>
    </x:row>
    <x:row r="10">
      <x:c r="A10" s="18" t="str">
        <x:v>Perform regulatory compliance check</x:v>
      </x:c>
      <x:c r="B10" s="18" t="str">
        <x:v>Vendor &amp; Compliance</x:v>
      </x:c>
      <x:c r="C10" s="18" t="str">
        <x:v>Compliance Lead</x:v>
      </x:c>
      <x:c r="D10" s="35" t="n">
        <x:v>46286</x:v>
      </x:c>
      <x:c r="E10" s="18" t="str">
        <x:v>Validate aviation, identity, accessibility, and data-protection requirements.</x:v>
      </x:c>
      <x:c r="F10" s="18" t="str">
        <x:v>High</x:v>
      </x:c>
      <x:c r="G10" s="18" t="str">
        <x:v>Not Started</x:v>
      </x:c>
      <x:c r="H10" s="18" t="str">
        <x:v>Compliance</x:v>
      </x:c>
      <x:c r="I10" s="18" t="str">
        <x:v>High</x:v>
      </x:c>
      <x:c r="J10" s="18" t="str">
        <x:v>Not Assessed</x:v>
      </x:c>
      <x:c r="K10" s="18" t="str">
        <x:v>Task</x:v>
      </x:c>
      <x:c r="L10" s="18" t="str">
        <x:v>Source Item 4</x:v>
      </x:c>
    </x:row>
    <x:row r="11">
      <x:c r="A11" s="18" t="str">
        <x:v>Regulatory compliance confirmed</x:v>
      </x:c>
      <x:c r="B11" s="18" t="str">
        <x:v>Vendor &amp; Compliance</x:v>
      </x:c>
      <x:c r="C11" s="18" t="str">
        <x:v>Compliance Lead</x:v>
      </x:c>
      <x:c r="D11" s="35" t="n">
        <x:v>46288</x:v>
      </x:c>
      <x:c r="E11" s="18" t="str">
        <x:v>Capture regulator/legal sign-off or documented conditions.</x:v>
      </x:c>
      <x:c r="F11" s="18" t="str">
        <x:v>High</x:v>
      </x:c>
      <x:c r="G11" s="18" t="str">
        <x:v>Not Started</x:v>
      </x:c>
      <x:c r="H11" s="18" t="str">
        <x:v>Compliance</x:v>
      </x:c>
      <x:c r="I11" s="18" t="str">
        <x:v>Medium</x:v>
      </x:c>
      <x:c r="J11" s="18" t="str">
        <x:v>Not Assessed</x:v>
      </x:c>
      <x:c r="K11" s="18" t="str">
        <x:v>Milestone</x:v>
      </x:c>
      <x:c r="L11" s="18" t="str">
        <x:v>Source milestone</x:v>
      </x:c>
    </x:row>
    <x:row r="12">
      <x:c r="A12" s="18" t="str">
        <x:v>Complete privacy impact and data-retention review</x:v>
      </x:c>
      <x:c r="B12" s="18" t="str">
        <x:v>Vendor &amp; Compliance</x:v>
      </x:c>
      <x:c r="C12" s="18" t="str">
        <x:v>Privacy Lead</x:v>
      </x:c>
      <x:c r="D12" s="35" t="n">
        <x:v>46288</x:v>
      </x:c>
      <x:c r="E12" s="18" t="str">
        <x:v>Define consent, retention, deletion, data residency, access, and exception-handling controls.</x:v>
      </x:c>
      <x:c r="F12" s="18" t="str">
        <x:v>High</x:v>
      </x:c>
      <x:c r="G12" s="18" t="str">
        <x:v>Not Started</x:v>
      </x:c>
      <x:c r="H12" s="18" t="str">
        <x:v>Security</x:v>
      </x:c>
      <x:c r="I12" s="18" t="str">
        <x:v>High</x:v>
      </x:c>
      <x:c r="J12" s="18" t="str">
        <x:v>Not Assessed</x:v>
      </x:c>
      <x:c r="K12" s="18" t="str">
        <x:v>Task</x:v>
      </x:c>
      <x:c r="L12" s="18" t="str">
        <x:v>Capstone enhancement</x:v>
      </x:c>
    </x:row>
    <x:row r="13">
      <x:c r="A13" s="18" t="str">
        <x:v>Security architecture approved</x:v>
      </x:c>
      <x:c r="B13" s="18" t="str">
        <x:v>Vendor &amp; Compliance</x:v>
      </x:c>
      <x:c r="C13" s="18" t="str">
        <x:v>Ryan Patel</x:v>
      </x:c>
      <x:c r="D13" s="35" t="n">
        <x:v>46290</x:v>
      </x:c>
      <x:c r="E13" s="18" t="str">
        <x:v>Approve threat model, encryption, identity, logging, integrations, and incident-response controls.</x:v>
      </x:c>
      <x:c r="F13" s="18" t="str">
        <x:v>High</x:v>
      </x:c>
      <x:c r="G13" s="18" t="str">
        <x:v>Not Started</x:v>
      </x:c>
      <x:c r="H13" s="18" t="str">
        <x:v>Security</x:v>
      </x:c>
      <x:c r="I13" s="18" t="str">
        <x:v>High</x:v>
      </x:c>
      <x:c r="J13" s="18" t="str">
        <x:v>Not Assessed</x:v>
      </x:c>
      <x:c r="K13" s="18" t="str">
        <x:v>Milestone</x:v>
      </x:c>
      <x:c r="L13" s="18" t="str">
        <x:v>Capstone enhancement</x:v>
      </x:c>
    </x:row>
    <x:row r="14">
      <x:c r="A14" s="18" t="str">
        <x:v>Complete infrastructure assessment</x:v>
      </x:c>
      <x:c r="B14" s="18" t="str">
        <x:v>Infrastructure &amp; Procurement</x:v>
      </x:c>
      <x:c r="C14" s="18" t="str">
        <x:v>Infrastructure Lead</x:v>
      </x:c>
      <x:c r="D14" s="35" t="n">
        <x:v>46290</x:v>
      </x:c>
      <x:c r="E14" s="18" t="str">
        <x:v>Assess gate, network, device, power, airport, and airline-system readiness; identify required upgrades.</x:v>
      </x:c>
      <x:c r="F14" s="18" t="str">
        <x:v>Medium</x:v>
      </x:c>
      <x:c r="G14" s="18" t="str">
        <x:v>Not Started</x:v>
      </x:c>
      <x:c r="H14" s="18" t="str">
        <x:v>Technology</x:v>
      </x:c>
      <x:c r="I14" s="18" t="str">
        <x:v>Medium</x:v>
      </x:c>
      <x:c r="J14" s="18" t="str">
        <x:v>Not Assessed</x:v>
      </x:c>
      <x:c r="K14" s="18" t="str">
        <x:v>Task</x:v>
      </x:c>
      <x:c r="L14" s="18" t="str">
        <x:v>Source Item 5</x:v>
      </x:c>
    </x:row>
    <x:row r="15">
      <x:c r="A15" s="18" t="str">
        <x:v>Infrastructure readiness assessed</x:v>
      </x:c>
      <x:c r="B15" s="18" t="str">
        <x:v>Infrastructure &amp; Procurement</x:v>
      </x:c>
      <x:c r="C15" s="18" t="str">
        <x:v>Infrastructure Lead</x:v>
      </x:c>
      <x:c r="D15" s="35" t="n">
        <x:v>46293</x:v>
      </x:c>
      <x:c r="E15" s="18" t="str">
        <x:v>Confirm readiness gaps, owners, costs, and resolution dates.</x:v>
      </x:c>
      <x:c r="F15" s="18" t="str">
        <x:v>Medium</x:v>
      </x:c>
      <x:c r="G15" s="18" t="str">
        <x:v>Not Started</x:v>
      </x:c>
      <x:c r="H15" s="18" t="str">
        <x:v>Technology</x:v>
      </x:c>
      <x:c r="I15" s="18" t="str">
        <x:v>Medium</x:v>
      </x:c>
      <x:c r="J15" s="18" t="str">
        <x:v>Not Assessed</x:v>
      </x:c>
      <x:c r="K15" s="18" t="str">
        <x:v>Milestone</x:v>
      </x:c>
      <x:c r="L15" s="18" t="str">
        <x:v>Source milestone</x:v>
      </x:c>
    </x:row>
    <x:row r="16">
      <x:c r="A16" s="18" t="str">
        <x:v>Procure biometric hardware</x:v>
      </x:c>
      <x:c r="B16" s="18" t="str">
        <x:v>Infrastructure &amp; Procurement</x:v>
      </x:c>
      <x:c r="C16" s="18" t="str">
        <x:v>Procurement Lead</x:v>
      </x:c>
      <x:c r="D16" s="35" t="n">
        <x:v>46295</x:v>
      </x:c>
      <x:c r="E16" s="18" t="str">
        <x:v>Purchase approved equipment within budget and confirmed delivery lead times.</x:v>
      </x:c>
      <x:c r="F16" s="18" t="str">
        <x:v>Low</x:v>
      </x:c>
      <x:c r="G16" s="18" t="str">
        <x:v>Not Started</x:v>
      </x:c>
      <x:c r="H16" s="18" t="str">
        <x:v>Vendor</x:v>
      </x:c>
      <x:c r="I16" s="18" t="str">
        <x:v>Medium</x:v>
      </x:c>
      <x:c r="J16" s="18" t="str">
        <x:v>Not Assessed</x:v>
      </x:c>
      <x:c r="K16" s="18" t="str">
        <x:v>Task</x:v>
      </x:c>
      <x:c r="L16" s="18" t="str">
        <x:v>Source Item 6</x:v>
      </x:c>
    </x:row>
    <x:row r="17">
      <x:c r="A17" s="18" t="str">
        <x:v>Integration environment ready</x:v>
      </x:c>
      <x:c r="B17" s="18" t="str">
        <x:v>Infrastructure &amp; Procurement</x:v>
      </x:c>
      <x:c r="C17" s="18" t="str">
        <x:v>Infrastructure Lead</x:v>
      </x:c>
      <x:c r="D17" s="35" t="n">
        <x:v>46297</x:v>
      </x:c>
      <x:c r="E17" s="18" t="str">
        <x:v>Install hardware and make test integrations available to the delivery team.</x:v>
      </x:c>
      <x:c r="F17" s="18" t="str">
        <x:v>High</x:v>
      </x:c>
      <x:c r="G17" s="18" t="str">
        <x:v>Not Started</x:v>
      </x:c>
      <x:c r="H17" s="18" t="str">
        <x:v>Technology</x:v>
      </x:c>
      <x:c r="I17" s="18" t="str">
        <x:v>Medium</x:v>
      </x:c>
      <x:c r="J17" s="18" t="str">
        <x:v>Not Assessed</x:v>
      </x:c>
      <x:c r="K17" s="18" t="str">
        <x:v>Milestone</x:v>
      </x:c>
      <x:c r="L17" s="18" t="str">
        <x:v>Capstone enhancement</x:v>
      </x:c>
    </x:row>
    <x:row r="18">
      <x:c r="A18" s="18" t="str">
        <x:v>Develop and integrate software</x:v>
      </x:c>
      <x:c r="B18" s="18" t="str">
        <x:v>Build &amp; Integration</x:v>
      </x:c>
      <x:c r="C18" s="18" t="str">
        <x:v>Ryan Patel</x:v>
      </x:c>
      <x:c r="D18" s="35" t="n">
        <x:v>46302</x:v>
      </x:c>
      <x:c r="E18" s="18" t="str">
        <x:v>Integrate biometric capability with check-in and boarding applications; link detailed engineering work in Jira where appropriate.</x:v>
      </x:c>
      <x:c r="F18" s="18" t="str">
        <x:v>High</x:v>
      </x:c>
      <x:c r="G18" s="18" t="str">
        <x:v>Not Started</x:v>
      </x:c>
      <x:c r="H18" s="18" t="str">
        <x:v>Technology</x:v>
      </x:c>
      <x:c r="I18" s="18" t="str">
        <x:v>High</x:v>
      </x:c>
      <x:c r="J18" s="18" t="str">
        <x:v>Not Assessed</x:v>
      </x:c>
      <x:c r="K18" s="18" t="str">
        <x:v>Task</x:v>
      </x:c>
      <x:c r="L18" s="18" t="str">
        <x:v>Source Item 7</x:v>
      </x:c>
    </x:row>
    <x:row r="19">
      <x:c r="A19" s="18" t="str">
        <x:v>Draft operational procedures</x:v>
      </x:c>
      <x:c r="B19" s="18" t="str">
        <x:v>Build &amp; Integration</x:v>
      </x:c>
      <x:c r="C19" s="18" t="str">
        <x:v>Natalie Chang</x:v>
      </x:c>
      <x:c r="D19" s="35" t="n">
        <x:v>46302</x:v>
      </x:c>
      <x:c r="E19" s="18" t="str">
        <x:v>Document passenger exceptions, accessibility, manual fallback, data incidents, gate operations, and support escalation.</x:v>
      </x:c>
      <x:c r="F19" s="18" t="str">
        <x:v>High</x:v>
      </x:c>
      <x:c r="G19" s="18" t="str">
        <x:v>Not Started</x:v>
      </x:c>
      <x:c r="H19" s="18" t="str">
        <x:v>Operations</x:v>
      </x:c>
      <x:c r="I19" s="18" t="str">
        <x:v>Medium</x:v>
      </x:c>
      <x:c r="J19" s="18" t="str">
        <x:v>Not Assessed</x:v>
      </x:c>
      <x:c r="K19" s="18" t="str">
        <x:v>Task</x:v>
      </x:c>
      <x:c r="L19" s="18" t="str">
        <x:v>Capstone enhancement</x:v>
      </x:c>
    </x:row>
    <x:row r="20">
      <x:c r="A20" s="18" t="str">
        <x:v>Prepare staff training package</x:v>
      </x:c>
      <x:c r="B20" s="18" t="str">
        <x:v>Build &amp; Integration</x:v>
      </x:c>
      <x:c r="C20" s="18" t="str">
        <x:v>Training Lead</x:v>
      </x:c>
      <x:c r="D20" s="35" t="n">
        <x:v>46304</x:v>
      </x:c>
      <x:c r="E20" s="18" t="str">
        <x:v>Create role-based training, quick reference, facilitator guide, and knowledge check.</x:v>
      </x:c>
      <x:c r="F20" s="18" t="str">
        <x:v>Medium</x:v>
      </x:c>
      <x:c r="G20" s="18" t="str">
        <x:v>Not Started</x:v>
      </x:c>
      <x:c r="H20" s="18" t="str">
        <x:v>Operations</x:v>
      </x:c>
      <x:c r="I20" s="18" t="str">
        <x:v>Low</x:v>
      </x:c>
      <x:c r="J20" s="18" t="str">
        <x:v>Not Assessed</x:v>
      </x:c>
      <x:c r="K20" s="18" t="str">
        <x:v>Task</x:v>
      </x:c>
      <x:c r="L20" s="18" t="str">
        <x:v>Capstone enhancement</x:v>
      </x:c>
    </x:row>
    <x:row r="21">
      <x:c r="A21" s="18" t="str">
        <x:v>Build complete</x:v>
      </x:c>
      <x:c r="B21" s="18" t="str">
        <x:v>Build &amp; Integration</x:v>
      </x:c>
      <x:c r="C21" s="18" t="str">
        <x:v>David Smith</x:v>
      </x:c>
      <x:c r="D21" s="35" t="n">
        <x:v>46304</x:v>
      </x:c>
      <x:c r="E21" s="18" t="str">
        <x:v>Confirm application, integration, procedures, and training assets are ready for formal testing.</x:v>
      </x:c>
      <x:c r="F21" s="18" t="str">
        <x:v>High</x:v>
      </x:c>
      <x:c r="G21" s="18" t="str">
        <x:v>Not Started</x:v>
      </x:c>
      <x:c r="H21" s="18" t="str">
        <x:v>PMO</x:v>
      </x:c>
      <x:c r="I21" s="18" t="str">
        <x:v>Medium</x:v>
      </x:c>
      <x:c r="J21" s="18" t="str">
        <x:v>Not Assessed</x:v>
      </x:c>
      <x:c r="K21" s="18" t="str">
        <x:v>Milestone</x:v>
      </x:c>
      <x:c r="L21" s="18" t="str">
        <x:v>Capstone enhancement</x:v>
      </x:c>
    </x:row>
    <x:row r="22">
      <x:c r="A22" s="18" t="str">
        <x:v>Execute testing and QA</x:v>
      </x:c>
      <x:c r="B22" s="18" t="str">
        <x:v>Testing &amp; Pilot</x:v>
      </x:c>
      <x:c r="C22" s="18" t="str">
        <x:v>QA Lead</x:v>
      </x:c>
      <x:c r="D22" s="35" t="n">
        <x:v>46308</x:v>
      </x:c>
      <x:c r="E22" s="18" t="str">
        <x:v>Test check-in, identity matching, boarding, exceptions, performance, usability, accessibility, and recovery.</x:v>
      </x:c>
      <x:c r="F22" s="18" t="str">
        <x:v>High</x:v>
      </x:c>
      <x:c r="G22" s="18" t="str">
        <x:v>Not Started</x:v>
      </x:c>
      <x:c r="H22" s="18" t="str">
        <x:v>Technology</x:v>
      </x:c>
      <x:c r="I22" s="18" t="str">
        <x:v>High</x:v>
      </x:c>
      <x:c r="J22" s="18" t="str">
        <x:v>Not Assessed</x:v>
      </x:c>
      <x:c r="K22" s="18" t="str">
        <x:v>Task</x:v>
      </x:c>
      <x:c r="L22" s="18" t="str">
        <x:v>Source Item 8</x:v>
      </x:c>
    </x:row>
    <x:row r="23">
      <x:c r="A23" s="18" t="str">
        <x:v>Validate security and privacy controls</x:v>
      </x:c>
      <x:c r="B23" s="18" t="str">
        <x:v>Testing &amp; Pilot</x:v>
      </x:c>
      <x:c r="C23" s="18" t="str">
        <x:v>Security Lead</x:v>
      </x:c>
      <x:c r="D23" s="35" t="n">
        <x:v>46308</x:v>
      </x:c>
      <x:c r="E23" s="18" t="str">
        <x:v>Verify access, encryption, logs, consent, deletion, breach handling, and negative-test cases.</x:v>
      </x:c>
      <x:c r="F23" s="18" t="str">
        <x:v>High</x:v>
      </x:c>
      <x:c r="G23" s="18" t="str">
        <x:v>Not Started</x:v>
      </x:c>
      <x:c r="H23" s="18" t="str">
        <x:v>Security</x:v>
      </x:c>
      <x:c r="I23" s="18" t="str">
        <x:v>High</x:v>
      </x:c>
      <x:c r="J23" s="18" t="str">
        <x:v>Not Assessed</x:v>
      </x:c>
      <x:c r="K23" s="18" t="str">
        <x:v>Task</x:v>
      </x:c>
      <x:c r="L23" s="18" t="str">
        <x:v>Capstone enhancement</x:v>
      </x:c>
    </x:row>
    <x:row r="24">
      <x:c r="A24" s="18" t="str">
        <x:v>Run pilot at selected gate</x:v>
      </x:c>
      <x:c r="B24" s="18" t="str">
        <x:v>Testing &amp; Pilot</x:v>
      </x:c>
      <x:c r="C24" s="18" t="str">
        <x:v>Natalie Chang</x:v>
      </x:c>
      <x:c r="D24" s="35" t="n">
        <x:v>46311</x:v>
      </x:c>
      <x:c r="E24" s="18" t="str">
        <x:v>Conduct a limited operational pilot; capture passenger, staff, throughput, exception, and issue data.</x:v>
      </x:c>
      <x:c r="F24" s="18" t="str">
        <x:v>High</x:v>
      </x:c>
      <x:c r="G24" s="18" t="str">
        <x:v>Not Started</x:v>
      </x:c>
      <x:c r="H24" s="18" t="str">
        <x:v>Operations</x:v>
      </x:c>
      <x:c r="I24" s="18" t="str">
        <x:v>High</x:v>
      </x:c>
      <x:c r="J24" s="18" t="str">
        <x:v>Not Assessed</x:v>
      </x:c>
      <x:c r="K24" s="18" t="str">
        <x:v>Task</x:v>
      </x:c>
      <x:c r="L24" s="18" t="str">
        <x:v>Capstone enhancement</x:v>
      </x:c>
    </x:row>
    <x:row r="25">
      <x:c r="A25" s="18" t="str">
        <x:v>Testing and pilot accepted</x:v>
      </x:c>
      <x:c r="B25" s="18" t="str">
        <x:v>Testing &amp; Pilot</x:v>
      </x:c>
      <x:c r="C25" s="18" t="str">
        <x:v>Samantha Lewis</x:v>
      </x:c>
      <x:c r="D25" s="35" t="n">
        <x:v>46314</x:v>
      </x:c>
      <x:c r="E25" s="18" t="str">
        <x:v>Approve evidence that testing, security validation, and the operational pilot meet agreed criteria.</x:v>
      </x:c>
      <x:c r="F25" s="18" t="str">
        <x:v>High</x:v>
      </x:c>
      <x:c r="G25" s="18" t="str">
        <x:v>Not Started</x:v>
      </x:c>
      <x:c r="H25" s="18" t="str">
        <x:v>Customer Experience</x:v>
      </x:c>
      <x:c r="I25" s="18" t="str">
        <x:v>Medium</x:v>
      </x:c>
      <x:c r="J25" s="18" t="str">
        <x:v>Not Assessed</x:v>
      </x:c>
      <x:c r="K25" s="18" t="str">
        <x:v>Milestone</x:v>
      </x:c>
      <x:c r="L25" s="18" t="str">
        <x:v>Source milestone expanded</x:v>
      </x:c>
    </x:row>
    <x:row r="26">
      <x:c r="A26" s="18" t="str">
        <x:v>Conduct launch-readiness approval</x:v>
      </x:c>
      <x:c r="B26" s="18" t="str">
        <x:v>Launch &amp; Handover</x:v>
      </x:c>
      <x:c r="C26" s="18" t="str">
        <x:v>Mark Thompson</x:v>
      </x:c>
      <x:c r="D26" s="35" t="n">
        <x:v>46315</x:v>
      </x:c>
      <x:c r="E26" s="18" t="str">
        <x:v>Review go/no-go criteria, open risks, support, communications, training, rollback, and ownership.</x:v>
      </x:c>
      <x:c r="F26" s="18" t="str">
        <x:v>High</x:v>
      </x:c>
      <x:c r="G26" s="18" t="str">
        <x:v>Not Started</x:v>
      </x:c>
      <x:c r="H26" s="18" t="str">
        <x:v>PMO</x:v>
      </x:c>
      <x:c r="I26" s="18" t="str">
        <x:v>High</x:v>
      </x:c>
      <x:c r="J26" s="18" t="str">
        <x:v>Not Assessed</x:v>
      </x:c>
      <x:c r="K26" s="18" t="str">
        <x:v>Approval</x:v>
      </x:c>
      <x:c r="L26" s="18" t="str">
        <x:v>Capstone enhancement</x:v>
      </x:c>
    </x:row>
    <x:row r="27">
      <x:c r="A27" s="18" t="str">
        <x:v>Release passenger and airport communications</x:v>
      </x:c>
      <x:c r="B27" s="18" t="str">
        <x:v>Launch &amp; Handover</x:v>
      </x:c>
      <x:c r="C27" s="18" t="str">
        <x:v>Samantha Lewis</x:v>
      </x:c>
      <x:c r="D27" s="35" t="n">
        <x:v>46316</x:v>
      </x:c>
      <x:c r="E27" s="18" t="str">
        <x:v>Publish approved passenger guidance, privacy notice, signage, partner information, and support messages.</x:v>
      </x:c>
      <x:c r="F27" s="18" t="str">
        <x:v>Medium</x:v>
      </x:c>
      <x:c r="G27" s="18" t="str">
        <x:v>Not Started</x:v>
      </x:c>
      <x:c r="H27" s="18" t="str">
        <x:v>Customer Experience</x:v>
      </x:c>
      <x:c r="I27" s="18" t="str">
        <x:v>Medium</x:v>
      </x:c>
      <x:c r="J27" s="18" t="str">
        <x:v>Not Assessed</x:v>
      </x:c>
      <x:c r="K27" s="18" t="str">
        <x:v>Task</x:v>
      </x:c>
      <x:c r="L27" s="18" t="str">
        <x:v>Capstone enhancement</x:v>
      </x:c>
    </x:row>
    <x:row r="28">
      <x:c r="A28" s="18" t="str">
        <x:v>Production go-live</x:v>
      </x:c>
      <x:c r="B28" s="18" t="str">
        <x:v>Launch &amp; Handover</x:v>
      </x:c>
      <x:c r="C28" s="18" t="str">
        <x:v>David Smith</x:v>
      </x:c>
      <x:c r="D28" s="35" t="n">
        <x:v>46317</x:v>
      </x:c>
      <x:c r="E28" s="18" t="str">
        <x:v>Activate the approved production capability and confirm operational monitoring.</x:v>
      </x:c>
      <x:c r="F28" s="18" t="str">
        <x:v>High</x:v>
      </x:c>
      <x:c r="G28" s="18" t="str">
        <x:v>Not Started</x:v>
      </x:c>
      <x:c r="H28" s="18" t="str">
        <x:v>PMO</x:v>
      </x:c>
      <x:c r="I28" s="18" t="str">
        <x:v>High</x:v>
      </x:c>
      <x:c r="J28" s="18" t="str">
        <x:v>Not Assessed</x:v>
      </x:c>
      <x:c r="K28" s="18" t="str">
        <x:v>Milestone</x:v>
      </x:c>
      <x:c r="L28" s="18" t="str">
        <x:v>Capstone enhancement</x:v>
      </x:c>
    </x:row>
    <x:row r="29">
      <x:c r="A29" s="18" t="str">
        <x:v>Run hypercare and issue triage</x:v>
      </x:c>
      <x:c r="B29" s="18" t="str">
        <x:v>Launch &amp; Handover</x:v>
      </x:c>
      <x:c r="C29" s="18" t="str">
        <x:v>Support Lead</x:v>
      </x:c>
      <x:c r="D29" s="35" t="n">
        <x:v>46324</x:v>
      </x:c>
      <x:c r="E29" s="18" t="str">
        <x:v>Monitor daily incidents, passenger exceptions, staff feedback, availability, performance, and corrective work.</x:v>
      </x:c>
      <x:c r="F29" s="18" t="str">
        <x:v>High</x:v>
      </x:c>
      <x:c r="G29" s="18" t="str">
        <x:v>Not Started</x:v>
      </x:c>
      <x:c r="H29" s="18" t="str">
        <x:v>Operations</x:v>
      </x:c>
      <x:c r="I29" s="18" t="str">
        <x:v>High</x:v>
      </x:c>
      <x:c r="J29" s="18" t="str">
        <x:v>Not Assessed</x:v>
      </x:c>
      <x:c r="K29" s="18" t="str">
        <x:v>Task</x:v>
      </x:c>
      <x:c r="L29" s="18" t="str">
        <x:v>Capstone enhancement</x:v>
      </x:c>
    </x:row>
    <x:row r="30">
      <x:c r="A30" s="18" t="str">
        <x:v>Complete post-implementation review</x:v>
      </x:c>
      <x:c r="B30" s="18" t="str">
        <x:v>Launch &amp; Handover</x:v>
      </x:c>
      <x:c r="C30" s="18" t="str">
        <x:v>David Smith</x:v>
      </x:c>
      <x:c r="D30" s="35" t="n">
        <x:v>46331</x:v>
      </x:c>
      <x:c r="E30" s="18" t="str">
        <x:v>Review delivery, risks, incidents, adoption, passenger experience, budget, lessons, and open actions.</x:v>
      </x:c>
      <x:c r="F30" s="18" t="str">
        <x:v>Medium</x:v>
      </x:c>
      <x:c r="G30" s="18" t="str">
        <x:v>Not Started</x:v>
      </x:c>
      <x:c r="H30" s="18" t="str">
        <x:v>PMO</x:v>
      </x:c>
      <x:c r="I30" s="18" t="str">
        <x:v>Medium</x:v>
      </x:c>
      <x:c r="J30" s="18" t="str">
        <x:v>Not Assessed</x:v>
      </x:c>
      <x:c r="K30" s="18" t="str">
        <x:v>Task</x:v>
      </x:c>
      <x:c r="L30" s="18" t="str">
        <x:v>Capstone enhancement</x:v>
      </x:c>
    </x:row>
    <x:row r="31">
      <x:c r="A31" s="18" t="str">
        <x:v>Benefits tracking begins</x:v>
      </x:c>
      <x:c r="B31" s="18" t="str">
        <x:v>Complete</x:v>
      </x:c>
      <x:c r="C31" s="18" t="str">
        <x:v>Samantha Lewis</x:v>
      </x:c>
      <x:c r="D31" s="35" t="n">
        <x:v>46332</x:v>
      </x:c>
      <x:c r="E31" s="18" t="str">
        <x:v>Confirm metric owners, baseline, reporting cadence, and first benefits-review date.</x:v>
      </x:c>
      <x:c r="F31" s="18" t="str">
        <x:v>Medium</x:v>
      </x:c>
      <x:c r="G31" s="18" t="str">
        <x:v>Not Started</x:v>
      </x:c>
      <x:c r="H31" s="18" t="str">
        <x:v>Customer Experience</x:v>
      </x:c>
      <x:c r="I31" s="18" t="str">
        <x:v>Low</x:v>
      </x:c>
      <x:c r="J31" s="18" t="str">
        <x:v>Not Assessed</x:v>
      </x:c>
      <x:c r="K31" s="18" t="str">
        <x:v>Milestone</x:v>
      </x:c>
      <x:c r="L31" s="18" t="str">
        <x:v>Capstone enhancement</x:v>
      </x:c>
    </x:row>
  </x:sheetData>
  <x:mergeCells>
    <x:mergeCell ref="A1:L2"/>
    <x:mergeCell ref="A3:L3"/>
  </x:mergeCells>
  <x:conditionalFormatting sqref="F5:F31">
    <x:cfRule type="expression" dxfId="0" priority="1">
      <x:formula>F5="High"</x:formula>
    </x:cfRule>
  </x:conditionalFormatting>
  <x:conditionalFormatting sqref="I5:I31">
    <x:cfRule type="expression" dxfId="1" priority="2">
      <x:formula>OR(I5="High",I5="Critical")</x:formula>
    </x:cfRule>
  </x:conditionalFormatting>
  <x:conditionalFormatting sqref="K5:K31">
    <x:cfRule type="expression" dxfId="2" priority="3">
      <x:formula>K5="Milestone"</x:formula>
    </x:cfRule>
  </x:conditionalFormatting>
  <x:dataValidations count="5">
    <x:dataValidation type="list" sqref="F5:F31">
      <x:formula1>"High,Medium,Low"</x:formula1>
    </x:dataValidation>
    <x:dataValidation type="list" sqref="G5:G31">
      <x:formula1>"Not Started,In Progress,Blocked,At Risk,Complete"</x:formula1>
    </x:dataValidation>
    <x:dataValidation type="list" sqref="I5:I31">
      <x:formula1>"Low,Medium,High,Critical"</x:formula1>
    </x:dataValidation>
    <x:dataValidation type="list" sqref="J5:J31">
      <x:formula1>"Not Assessed,On Budget,Watch,Over Budget"</x:formula1>
    </x:dataValidation>
    <x:dataValidation type="list" sqref="K5:K31">
      <x:formula1>"Task,Milestone,Approval"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2a2446fc8a44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16" hidden="0" customWidth="1"/>
    <x:col min="5" max="5" width="48" hidden="0" customWidth="1"/>
  </x:cols>
  <x:sheetData>
    <x:row r="1" ht="34" customHeight="1">
      <x:c r="A1" s="4" t="str">
        <x:v>Project 1 — Dependency Register</x:v>
      </x:c>
      <x:c r="B1" s="4" t="str">
        <x:v>Project 1 — Dependency Register</x:v>
      </x:c>
      <x:c r="C1" s="4" t="str">
        <x:v>Project 1 — Dependency Register</x:v>
      </x:c>
      <x:c r="D1" s="4" t="str">
        <x:v>Project 1 — Dependency Register</x:v>
      </x:c>
      <x:c r="E1" s="4" t="str">
        <x:v>Project 1 — Dependency Register</x:v>
      </x:c>
    </x:row>
    <x:row r="2" ht="34" customHeight="1">
      <x:c r="A2" s="4" t="str">
        <x:v>Project 1 — Dependency Register</x:v>
      </x:c>
      <x:c r="B2" s="4" t="str">
        <x:v>Project 1 — Dependency Register</x:v>
      </x:c>
      <x:c r="C2" s="4" t="str">
        <x:v>Project 1 — Dependency Register</x:v>
      </x:c>
      <x:c r="D2" s="4" t="str">
        <x:v>Project 1 — Dependency Register</x:v>
      </x:c>
      <x:c r="E2" s="4" t="str">
        <x:v>Project 1 — Dependency Register</x:v>
      </x:c>
    </x:row>
    <x:row r="3" ht="28" customHeight="1">
      <x:c r="A3" s="8" t="str">
        <x:v>After importing P1, create these predecessor links in Timeline/Gantt or in each successor task. One row equals one dependency relationship.</x:v>
      </x:c>
      <x:c r="B3" s="8" t="str">
        <x:v>After importing P1, create these predecessor links in Timeline/Gantt or in each successor task. One row equals one dependency relationship.</x:v>
      </x:c>
      <x:c r="C3" s="8" t="str">
        <x:v>After importing P1, create these predecessor links in Timeline/Gantt or in each successor task. One row equals one dependency relationship.</x:v>
      </x:c>
      <x:c r="D3" s="8" t="str">
        <x:v>After importing P1, create these predecessor links in Timeline/Gantt or in each successor task. One row equals one dependency relationship.</x:v>
      </x:c>
      <x:c r="E3" s="8" t="str">
        <x:v>After importing P1, create these predecessor links in Timeline/Gantt or in each successor task. One row equals one dependency relationship.</x:v>
      </x:c>
    </x:row>
    <x:row r="4" ht="30" customHeight="1">
      <x:c r="A4" s="15" t="str">
        <x:v>ID</x:v>
      </x:c>
      <x:c r="B4" s="15" t="str">
        <x:v>Successor</x:v>
      </x:c>
      <x:c r="C4" s="15" t="str">
        <x:v>Predecessor</x:v>
      </x:c>
      <x:c r="D4" s="15" t="str">
        <x:v>Relationship</x:v>
      </x:c>
      <x:c r="E4" s="15" t="str">
        <x:v>Reason / validation</x:v>
      </x:c>
    </x:row>
    <x:row r="5">
      <x:c r="A5" s="18" t="str">
        <x:v>D01</x:v>
      </x:c>
      <x:c r="B5" s="18" t="str">
        <x:v>Research and analysis complete</x:v>
      </x:c>
      <x:c r="C5" s="18" t="str">
        <x:v>Research available biometric technologies</x:v>
      </x:c>
      <x:c r="D5" s="18" t="str">
        <x:v>Blocked by</x:v>
      </x:c>
      <x:c r="E5" s="18" t="str">
        <x:v>Recommendation cannot close before research is complete.</x:v>
      </x:c>
    </x:row>
    <x:row r="6">
      <x:c r="A6" s="18" t="str">
        <x:v>D02</x:v>
      </x:c>
      <x:c r="B6" s="18" t="str">
        <x:v>Complete vendor selection</x:v>
      </x:c>
      <x:c r="C6" s="18" t="str">
        <x:v>Research and analysis complete</x:v>
      </x:c>
      <x:c r="D6" s="18" t="str">
        <x:v>Blocked by</x:v>
      </x:c>
      <x:c r="E6" s="18" t="str">
        <x:v>Vendor evaluation uses approved research criteria.</x:v>
      </x:c>
    </x:row>
    <x:row r="7">
      <x:c r="A7" s="18" t="str">
        <x:v>D03</x:v>
      </x:c>
      <x:c r="B7" s="18" t="str">
        <x:v>Vendor selected and confirmed</x:v>
      </x:c>
      <x:c r="C7" s="18" t="str">
        <x:v>Complete vendor selection</x:v>
      </x:c>
      <x:c r="D7" s="18" t="str">
        <x:v>Blocked by</x:v>
      </x:c>
      <x:c r="E7" s="18" t="str">
        <x:v>Approval follows due diligence.</x:v>
      </x:c>
    </x:row>
    <x:row r="8">
      <x:c r="A8" s="18" t="str">
        <x:v>D04</x:v>
      </x:c>
      <x:c r="B8" s="18" t="str">
        <x:v>Perform regulatory compliance check</x:v>
      </x:c>
      <x:c r="C8" s="18" t="str">
        <x:v>Research and analysis complete</x:v>
      </x:c>
      <x:c r="D8" s="18" t="str">
        <x:v>Blocked by</x:v>
      </x:c>
      <x:c r="E8" s="18" t="str">
        <x:v>Compliance review needs defined technology scope.</x:v>
      </x:c>
    </x:row>
    <x:row r="9">
      <x:c r="A9" s="18" t="str">
        <x:v>D05</x:v>
      </x:c>
      <x:c r="B9" s="18" t="str">
        <x:v>Regulatory compliance confirmed</x:v>
      </x:c>
      <x:c r="C9" s="18" t="str">
        <x:v>Perform regulatory compliance check</x:v>
      </x:c>
      <x:c r="D9" s="18" t="str">
        <x:v>Blocked by</x:v>
      </x:c>
      <x:c r="E9" s="18" t="str">
        <x:v>Milestone requires documented compliance outcome.</x:v>
      </x:c>
    </x:row>
    <x:row r="10">
      <x:c r="A10" s="18" t="str">
        <x:v>D06</x:v>
      </x:c>
      <x:c r="B10" s="18" t="str">
        <x:v>Security architecture approved</x:v>
      </x:c>
      <x:c r="C10" s="18" t="str">
        <x:v>Complete privacy impact and data-retention review</x:v>
      </x:c>
      <x:c r="D10" s="18" t="str">
        <x:v>Blocked by</x:v>
      </x:c>
      <x:c r="E10" s="18" t="str">
        <x:v>Security decision incorporates privacy controls.</x:v>
      </x:c>
    </x:row>
    <x:row r="11">
      <x:c r="A11" s="18" t="str">
        <x:v>D07</x:v>
      </x:c>
      <x:c r="B11" s="18" t="str">
        <x:v>Security architecture approved</x:v>
      </x:c>
      <x:c r="C11" s="18" t="str">
        <x:v>Regulatory compliance confirmed</x:v>
      </x:c>
      <x:c r="D11" s="18" t="str">
        <x:v>Blocked by</x:v>
      </x:c>
      <x:c r="E11" s="18" t="str">
        <x:v>Architecture must satisfy regulatory conditions.</x:v>
      </x:c>
    </x:row>
    <x:row r="12">
      <x:c r="A12" s="18" t="str">
        <x:v>D08</x:v>
      </x:c>
      <x:c r="B12" s="18" t="str">
        <x:v>Complete infrastructure assessment</x:v>
      </x:c>
      <x:c r="C12" s="18" t="str">
        <x:v>Regulatory compliance confirmed</x:v>
      </x:c>
      <x:c r="D12" s="18" t="str">
        <x:v>Blocked by</x:v>
      </x:c>
      <x:c r="E12" s="18" t="str">
        <x:v>Readiness scope reflects compliance requirements.</x:v>
      </x:c>
    </x:row>
    <x:row r="13">
      <x:c r="A13" s="18" t="str">
        <x:v>D09</x:v>
      </x:c>
      <x:c r="B13" s="18" t="str">
        <x:v>Infrastructure readiness assessed</x:v>
      </x:c>
      <x:c r="C13" s="18" t="str">
        <x:v>Complete infrastructure assessment</x:v>
      </x:c>
      <x:c r="D13" s="18" t="str">
        <x:v>Blocked by</x:v>
      </x:c>
      <x:c r="E13" s="18" t="str">
        <x:v>Milestone closes the assessment.</x:v>
      </x:c>
    </x:row>
    <x:row r="14">
      <x:c r="A14" s="18" t="str">
        <x:v>D10</x:v>
      </x:c>
      <x:c r="B14" s="18" t="str">
        <x:v>Procure biometric hardware</x:v>
      </x:c>
      <x:c r="C14" s="18" t="str">
        <x:v>Vendor selected and confirmed</x:v>
      </x:c>
      <x:c r="D14" s="18" t="str">
        <x:v>Blocked by</x:v>
      </x:c>
      <x:c r="E14" s="18" t="str">
        <x:v>Only the approved vendor may be procured.</x:v>
      </x:c>
    </x:row>
    <x:row r="15">
      <x:c r="A15" s="18" t="str">
        <x:v>D11</x:v>
      </x:c>
      <x:c r="B15" s="18" t="str">
        <x:v>Procure biometric hardware</x:v>
      </x:c>
      <x:c r="C15" s="18" t="str">
        <x:v>Infrastructure readiness assessed</x:v>
      </x:c>
      <x:c r="D15" s="18" t="str">
        <x:v>Blocked by</x:v>
      </x:c>
      <x:c r="E15" s="18" t="str">
        <x:v>Equipment purchase depends on confirmed readiness needs.</x:v>
      </x:c>
    </x:row>
    <x:row r="16">
      <x:c r="A16" s="18" t="str">
        <x:v>D12</x:v>
      </x:c>
      <x:c r="B16" s="18" t="str">
        <x:v>Integration environment ready</x:v>
      </x:c>
      <x:c r="C16" s="18" t="str">
        <x:v>Procure biometric hardware</x:v>
      </x:c>
      <x:c r="D16" s="18" t="str">
        <x:v>Blocked by</x:v>
      </x:c>
      <x:c r="E16" s="18" t="str">
        <x:v>Environment requires delivered/installed hardware.</x:v>
      </x:c>
    </x:row>
    <x:row r="17">
      <x:c r="A17" s="18" t="str">
        <x:v>D13</x:v>
      </x:c>
      <x:c r="B17" s="18" t="str">
        <x:v>Develop and integrate software</x:v>
      </x:c>
      <x:c r="C17" s="18" t="str">
        <x:v>Integration environment ready</x:v>
      </x:c>
      <x:c r="D17" s="18" t="str">
        <x:v>Blocked by</x:v>
      </x:c>
      <x:c r="E17" s="18" t="str">
        <x:v>Build requires a functioning integration environment.</x:v>
      </x:c>
    </x:row>
    <x:row r="18">
      <x:c r="A18" s="18" t="str">
        <x:v>D14</x:v>
      </x:c>
      <x:c r="B18" s="18" t="str">
        <x:v>Develop and integrate software</x:v>
      </x:c>
      <x:c r="C18" s="18" t="str">
        <x:v>Security architecture approved</x:v>
      </x:c>
      <x:c r="D18" s="18" t="str">
        <x:v>Blocked by</x:v>
      </x:c>
      <x:c r="E18" s="18" t="str">
        <x:v>Implementation follows approved controls.</x:v>
      </x:c>
    </x:row>
    <x:row r="19">
      <x:c r="A19" s="18" t="str">
        <x:v>D15</x:v>
      </x:c>
      <x:c r="B19" s="18" t="str">
        <x:v>Prepare staff training package</x:v>
      </x:c>
      <x:c r="C19" s="18" t="str">
        <x:v>Draft operational procedures</x:v>
      </x:c>
      <x:c r="D19" s="18" t="str">
        <x:v>Blocked by</x:v>
      </x:c>
      <x:c r="E19" s="18" t="str">
        <x:v>Training must reflect final operating procedures.</x:v>
      </x:c>
    </x:row>
    <x:row r="20">
      <x:c r="A20" s="18" t="str">
        <x:v>D16</x:v>
      </x:c>
      <x:c r="B20" s="18" t="str">
        <x:v>Build complete</x:v>
      </x:c>
      <x:c r="C20" s="18" t="str">
        <x:v>Develop and integrate software</x:v>
      </x:c>
      <x:c r="D20" s="18" t="str">
        <x:v>Blocked by</x:v>
      </x:c>
      <x:c r="E20" s="18" t="str">
        <x:v>Build milestone requires finished integration.</x:v>
      </x:c>
    </x:row>
    <x:row r="21">
      <x:c r="A21" s="18" t="str">
        <x:v>D17</x:v>
      </x:c>
      <x:c r="B21" s="18" t="str">
        <x:v>Build complete</x:v>
      </x:c>
      <x:c r="C21" s="18" t="str">
        <x:v>Prepare staff training package</x:v>
      </x:c>
      <x:c r="D21" s="18" t="str">
        <x:v>Blocked by</x:v>
      </x:c>
      <x:c r="E21" s="18" t="str">
        <x:v>Pilot package includes staff readiness.</x:v>
      </x:c>
    </x:row>
    <x:row r="22">
      <x:c r="A22" s="18" t="str">
        <x:v>D18</x:v>
      </x:c>
      <x:c r="B22" s="18" t="str">
        <x:v>Execute testing and QA</x:v>
      </x:c>
      <x:c r="C22" s="18" t="str">
        <x:v>Build complete</x:v>
      </x:c>
      <x:c r="D22" s="18" t="str">
        <x:v>Blocked by</x:v>
      </x:c>
      <x:c r="E22" s="18" t="str">
        <x:v>Formal QA begins after build readiness.</x:v>
      </x:c>
    </x:row>
    <x:row r="23">
      <x:c r="A23" s="18" t="str">
        <x:v>D19</x:v>
      </x:c>
      <x:c r="B23" s="18" t="str">
        <x:v>Validate security and privacy controls</x:v>
      </x:c>
      <x:c r="C23" s="18" t="str">
        <x:v>Build complete</x:v>
      </x:c>
      <x:c r="D23" s="18" t="str">
        <x:v>Blocked by</x:v>
      </x:c>
      <x:c r="E23" s="18" t="str">
        <x:v>Validation needs the integrated solution.</x:v>
      </x:c>
    </x:row>
    <x:row r="24">
      <x:c r="A24" s="18" t="str">
        <x:v>D20</x:v>
      </x:c>
      <x:c r="B24" s="18" t="str">
        <x:v>Run pilot at selected gate</x:v>
      </x:c>
      <x:c r="C24" s="18" t="str">
        <x:v>Execute testing and QA</x:v>
      </x:c>
      <x:c r="D24" s="18" t="str">
        <x:v>Blocked by</x:v>
      </x:c>
      <x:c r="E24" s="18" t="str">
        <x:v>Pilot follows core functional testing.</x:v>
      </x:c>
    </x:row>
    <x:row r="25">
      <x:c r="A25" s="18" t="str">
        <x:v>D21</x:v>
      </x:c>
      <x:c r="B25" s="18" t="str">
        <x:v>Run pilot at selected gate</x:v>
      </x:c>
      <x:c r="C25" s="18" t="str">
        <x:v>Validate security and privacy controls</x:v>
      </x:c>
      <x:c r="D25" s="18" t="str">
        <x:v>Blocked by</x:v>
      </x:c>
      <x:c r="E25" s="18" t="str">
        <x:v>Pilot cannot proceed without security/privacy validation.</x:v>
      </x:c>
    </x:row>
    <x:row r="26">
      <x:c r="A26" s="18" t="str">
        <x:v>D22</x:v>
      </x:c>
      <x:c r="B26" s="18" t="str">
        <x:v>Testing and pilot accepted</x:v>
      </x:c>
      <x:c r="C26" s="18" t="str">
        <x:v>Run pilot at selected gate</x:v>
      </x:c>
      <x:c r="D26" s="18" t="str">
        <x:v>Blocked by</x:v>
      </x:c>
      <x:c r="E26" s="18" t="str">
        <x:v>Acceptance requires pilot evidence.</x:v>
      </x:c>
    </x:row>
    <x:row r="27">
      <x:c r="A27" s="18" t="str">
        <x:v>D23</x:v>
      </x:c>
      <x:c r="B27" s="18" t="str">
        <x:v>Conduct launch-readiness approval</x:v>
      </x:c>
      <x:c r="C27" s="18" t="str">
        <x:v>Testing and pilot accepted</x:v>
      </x:c>
      <x:c r="D27" s="18" t="str">
        <x:v>Blocked by</x:v>
      </x:c>
      <x:c r="E27" s="18" t="str">
        <x:v>Go/no-go follows accepted testing and pilot.</x:v>
      </x:c>
    </x:row>
    <x:row r="28">
      <x:c r="A28" s="18" t="str">
        <x:v>D24</x:v>
      </x:c>
      <x:c r="B28" s="18" t="str">
        <x:v>Release passenger and airport communications</x:v>
      </x:c>
      <x:c r="C28" s="18" t="str">
        <x:v>Conduct launch-readiness approval</x:v>
      </x:c>
      <x:c r="D28" s="18" t="str">
        <x:v>Blocked by</x:v>
      </x:c>
      <x:c r="E28" s="18" t="str">
        <x:v>Communications publish after go decision.</x:v>
      </x:c>
    </x:row>
    <x:row r="29">
      <x:c r="A29" s="18" t="str">
        <x:v>D25</x:v>
      </x:c>
      <x:c r="B29" s="18" t="str">
        <x:v>Production go-live</x:v>
      </x:c>
      <x:c r="C29" s="18" t="str">
        <x:v>Conduct launch-readiness approval</x:v>
      </x:c>
      <x:c r="D29" s="18" t="str">
        <x:v>Blocked by</x:v>
      </x:c>
      <x:c r="E29" s="18" t="str">
        <x:v>Production activation requires approval.</x:v>
      </x:c>
    </x:row>
    <x:row r="30">
      <x:c r="A30" s="18" t="str">
        <x:v>D26</x:v>
      </x:c>
      <x:c r="B30" s="18" t="str">
        <x:v>Production go-live</x:v>
      </x:c>
      <x:c r="C30" s="18" t="str">
        <x:v>Release passenger and airport communications</x:v>
      </x:c>
      <x:c r="D30" s="18" t="str">
        <x:v>Blocked by</x:v>
      </x:c>
      <x:c r="E30" s="18" t="str">
        <x:v>Required customer/partner information must be live.</x:v>
      </x:c>
    </x:row>
    <x:row r="31">
      <x:c r="A31" s="18" t="str">
        <x:v>D27</x:v>
      </x:c>
      <x:c r="B31" s="18" t="str">
        <x:v>Run hypercare and issue triage</x:v>
      </x:c>
      <x:c r="C31" s="18" t="str">
        <x:v>Production go-live</x:v>
      </x:c>
      <x:c r="D31" s="18" t="str">
        <x:v>Blocked by</x:v>
      </x:c>
      <x:c r="E31" s="18" t="str">
        <x:v>Hypercare begins after launch.</x:v>
      </x:c>
    </x:row>
    <x:row r="32">
      <x:c r="A32" s="18" t="str">
        <x:v>D28</x:v>
      </x:c>
      <x:c r="B32" s="18" t="str">
        <x:v>Complete post-implementation review</x:v>
      </x:c>
      <x:c r="C32" s="18" t="str">
        <x:v>Run hypercare and issue triage</x:v>
      </x:c>
      <x:c r="D32" s="18" t="str">
        <x:v>Blocked by</x:v>
      </x:c>
      <x:c r="E32" s="18" t="str">
        <x:v>Review uses hypercare evidence.</x:v>
      </x:c>
    </x:row>
    <x:row r="33">
      <x:c r="A33" s="18" t="str">
        <x:v>D29</x:v>
      </x:c>
      <x:c r="B33" s="18" t="str">
        <x:v>Benefits tracking begins</x:v>
      </x:c>
      <x:c r="C33" s="18" t="str">
        <x:v>Complete post-implementation review</x:v>
      </x:c>
      <x:c r="D33" s="18" t="str">
        <x:v>Blocked by</x:v>
      </x:c>
      <x:c r="E33" s="18" t="str">
        <x:v>Benefits cadence is confirmed at closeout.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2620dc7d706044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5" hidden="0" customWidth="1"/>
    <x:col min="4" max="4" width="21" hidden="0" customWidth="1"/>
    <x:col min="5" max="5" width="21" hidden="0" customWidth="1"/>
    <x:col min="6" max="6" width="36" hidden="0" customWidth="1"/>
    <x:col min="7" max="7" width="52" hidden="0" customWidth="1"/>
    <x:col min="8" max="8" width="22" hidden="0" customWidth="1"/>
  </x:cols>
  <x:sheetData>
    <x:row r="1" ht="34" customHeight="1">
      <x:c r="A1" s="4" t="str">
        <x:v>Project 2 — Form and Custom-Field Specification</x:v>
      </x:c>
      <x:c r="B1" s="4" t="str">
        <x:v>Project 2 — Form and Custom-Field Specification</x:v>
      </x:c>
      <x:c r="C1" s="4" t="str">
        <x:v>Project 2 — Form and Custom-Field Specification</x:v>
      </x:c>
      <x:c r="D1" s="4" t="str">
        <x:v>Project 2 — Form and Custom-Field Specification</x:v>
      </x:c>
      <x:c r="E1" s="4" t="str">
        <x:v>Project 2 — Form and Custom-Field Specification</x:v>
      </x:c>
      <x:c r="F1" s="4" t="str">
        <x:v>Project 2 — Form and Custom-Field Specification</x:v>
      </x:c>
      <x:c r="G1" s="4" t="str">
        <x:v>Project 2 — Form and Custom-Field Specification</x:v>
      </x:c>
      <x:c r="H1" s="4" t="str">
        <x:v>Project 2 — Form and Custom-Field Specification</x:v>
      </x:c>
    </x:row>
    <x:row r="2" ht="34" customHeight="1">
      <x:c r="A2" s="4" t="str">
        <x:v>Project 2 — Form and Custom-Field Specification</x:v>
      </x:c>
      <x:c r="B2" s="4" t="str">
        <x:v>Project 2 — Form and Custom-Field Specification</x:v>
      </x:c>
      <x:c r="C2" s="4" t="str">
        <x:v>Project 2 — Form and Custom-Field Specification</x:v>
      </x:c>
      <x:c r="D2" s="4" t="str">
        <x:v>Project 2 — Form and Custom-Field Specification</x:v>
      </x:c>
      <x:c r="E2" s="4" t="str">
        <x:v>Project 2 — Form and Custom-Field Specification</x:v>
      </x:c>
      <x:c r="F2" s="4" t="str">
        <x:v>Project 2 — Form and Custom-Field Specification</x:v>
      </x:c>
      <x:c r="G2" s="4" t="str">
        <x:v>Project 2 — Form and Custom-Field Specification</x:v>
      </x:c>
      <x:c r="H2" s="4" t="str">
        <x:v>Project 2 — Form and Custom-Field Specification</x:v>
      </x:c>
    </x:row>
    <x:row r="3" ht="28" customHeight="1">
      <x:c r="A3" s="8" t="str">
        <x:v>Build the Phoenix Airlines Project Request form in this order. Required source questions are preserved; recommended additions improve routing and reporting.</x:v>
      </x:c>
      <x:c r="B3" s="8" t="str">
        <x:v>Build the Phoenix Airlines Project Request form in this order. Required source questions are preserved; recommended additions improve routing and reporting.</x:v>
      </x:c>
      <x:c r="C3" s="8" t="str">
        <x:v>Build the Phoenix Airlines Project Request form in this order. Required source questions are preserved; recommended additions improve routing and reporting.</x:v>
      </x:c>
      <x:c r="D3" s="8" t="str">
        <x:v>Build the Phoenix Airlines Project Request form in this order. Required source questions are preserved; recommended additions improve routing and reporting.</x:v>
      </x:c>
      <x:c r="E3" s="8" t="str">
        <x:v>Build the Phoenix Airlines Project Request form in this order. Required source questions are preserved; recommended additions improve routing and reporting.</x:v>
      </x:c>
      <x:c r="F3" s="8" t="str">
        <x:v>Build the Phoenix Airlines Project Request form in this order. Required source questions are preserved; recommended additions improve routing and reporting.</x:v>
      </x:c>
      <x:c r="G3" s="8" t="str">
        <x:v>Build the Phoenix Airlines Project Request form in this order. Required source questions are preserved; recommended additions improve routing and reporting.</x:v>
      </x:c>
      <x:c r="H3" s="8" t="str">
        <x:v>Build the Phoenix Airlines Project Request form in this order. Required source questions are preserved; recommended additions improve routing and reporting.</x:v>
      </x:c>
    </x:row>
    <x:row r="4" ht="30" customHeight="1">
      <x:c r="A4" s="15" t="str">
        <x:v>Order</x:v>
      </x:c>
      <x:c r="B4" s="15" t="str">
        <x:v>Form question / field</x:v>
      </x:c>
      <x:c r="C4" s="15" t="str">
        <x:v>Required</x:v>
      </x:c>
      <x:c r="D4" s="15" t="str">
        <x:v>Question type</x:v>
      </x:c>
      <x:c r="E4" s="15" t="str">
        <x:v>Map to</x:v>
      </x:c>
      <x:c r="F4" s="15" t="str">
        <x:v>Options / branch</x:v>
      </x:c>
      <x:c r="G4" s="15" t="str">
        <x:v>Help text</x:v>
      </x:c>
      <x:c r="H4" s="15" t="str">
        <x:v>Source / decision</x:v>
      </x:c>
    </x:row>
    <x:row r="5">
      <x:c r="A5" s="18" t="n">
        <x:v>1</x:v>
      </x:c>
      <x:c r="B5" s="18" t="str">
        <x:v>Request Title</x:v>
      </x:c>
      <x:c r="C5" s="18" t="str">
        <x:v>Yes</x:v>
      </x:c>
      <x:c r="D5" s="18" t="str">
        <x:v>Short answer</x:v>
      </x:c>
      <x:c r="E5" s="18" t="str">
        <x:v>Task title</x:v>
      </x:c>
      <x:c r="F5" s="18" t="str">
        <x:v>—</x:v>
      </x:c>
      <x:c r="G5" s="18" t="str">
        <x:v>Use an outcome-focused title, e.g., Improve security screening at Gate 12.</x:v>
      </x:c>
      <x:c r="H5" s="18" t="str">
        <x:v>Recommended addition</x:v>
      </x:c>
    </x:row>
    <x:row r="6">
      <x:c r="A6" s="18" t="n">
        <x:v>2</x:v>
      </x:c>
      <x:c r="B6" s="18" t="str">
        <x:v>Objective</x:v>
      </x:c>
      <x:c r="C6" s="18" t="str">
        <x:v>Yes</x:v>
      </x:c>
      <x:c r="D6" s="18" t="str">
        <x:v>Long answer</x:v>
      </x:c>
      <x:c r="E6" s="18" t="str">
        <x:v>Objective</x:v>
      </x:c>
      <x:c r="F6" s="18" t="str">
        <x:v>—</x:v>
      </x:c>
      <x:c r="G6" s="18" t="str">
        <x:v>Describe the problem, expected outcome, and customer/operational benefit.</x:v>
      </x:c>
      <x:c r="H6" s="18" t="str">
        <x:v>Required by discovery</x:v>
      </x:c>
    </x:row>
    <x:row r="7">
      <x:c r="A7" s="18" t="n">
        <x:v>3</x:v>
      </x:c>
      <x:c r="B7" s="18" t="str">
        <x:v>Estimated Budget</x:v>
      </x:c>
      <x:c r="C7" s="18" t="str">
        <x:v>Yes</x:v>
      </x:c>
      <x:c r="D7" s="18" t="str">
        <x:v>Number / currency</x:v>
      </x:c>
      <x:c r="E7" s="18" t="str">
        <x:v>Estimated Budget</x:v>
      </x:c>
      <x:c r="F7" s="18" t="str">
        <x:v>AUD</x:v>
      </x:c>
      <x:c r="G7" s="18" t="str">
        <x:v>Provide the best available total estimate and assumptions.</x:v>
      </x:c>
      <x:c r="H7" s="18" t="str">
        <x:v>Required by discovery</x:v>
      </x:c>
    </x:row>
    <x:row r="8">
      <x:c r="A8" s="18" t="n">
        <x:v>4</x:v>
      </x:c>
      <x:c r="B8" s="18" t="str">
        <x:v>Improvement Area</x:v>
      </x:c>
      <x:c r="C8" s="18" t="str">
        <x:v>Yes</x:v>
      </x:c>
      <x:c r="D8" s="18" t="str">
        <x:v>Single select</x:v>
      </x:c>
      <x:c r="E8" s="18" t="str">
        <x:v>Improvement Area</x:v>
      </x:c>
      <x:c r="F8" s="18" t="str">
        <x:v>Operations / Engineering / Technology</x:v>
      </x:c>
      <x:c r="G8" s="18" t="str">
        <x:v>Choose the primary accountable area.</x:v>
      </x:c>
      <x:c r="H8" s="18" t="str">
        <x:v>Required by discovery</x:v>
      </x:c>
    </x:row>
    <x:row r="9">
      <x:c r="A9" s="18" t="n">
        <x:v>5</x:v>
      </x:c>
      <x:c r="B9" s="18" t="str">
        <x:v>Operations Sub-area</x:v>
      </x:c>
      <x:c r="C9" s="18" t="str">
        <x:v>Yes when shown</x:v>
      </x:c>
      <x:c r="D9" s="18" t="str">
        <x:v>Single select</x:v>
      </x:c>
      <x:c r="E9" s="18" t="str">
        <x:v>Sub-area</x:v>
      </x:c>
      <x:c r="F9" s="18" t="str">
        <x:v>Ground / Flight</x:v>
      </x:c>
      <x:c r="G9" s="18" t="str">
        <x:v>Show only when Improvement Area = Operations.</x:v>
      </x:c>
      <x:c r="H9" s="18" t="str">
        <x:v>Required branch</x:v>
      </x:c>
    </x:row>
    <x:row r="10">
      <x:c r="A10" s="18" t="n">
        <x:v>6</x:v>
      </x:c>
      <x:c r="B10" s="18" t="str">
        <x:v>Engineering Sub-area</x:v>
      </x:c>
      <x:c r="C10" s="18" t="str">
        <x:v>Yes when shown</x:v>
      </x:c>
      <x:c r="D10" s="18" t="str">
        <x:v>Single select</x:v>
      </x:c>
      <x:c r="E10" s="18" t="str">
        <x:v>Sub-area</x:v>
      </x:c>
      <x:c r="F10" s="18" t="str">
        <x:v>Mechanical / Software</x:v>
      </x:c>
      <x:c r="G10" s="18" t="str">
        <x:v>Show only when Improvement Area = Engineering.</x:v>
      </x:c>
      <x:c r="H10" s="18" t="str">
        <x:v>Required branch</x:v>
      </x:c>
    </x:row>
    <x:row r="11">
      <x:c r="A11" s="18" t="n">
        <x:v>7</x:v>
      </x:c>
      <x:c r="B11" s="18" t="str">
        <x:v>Technology Sub-area</x:v>
      </x:c>
      <x:c r="C11" s="18" t="str">
        <x:v>Yes when shown</x:v>
      </x:c>
      <x:c r="D11" s="18" t="str">
        <x:v>Single select</x:v>
      </x:c>
      <x:c r="E11" s="18" t="str">
        <x:v>Sub-area</x:v>
      </x:c>
      <x:c r="F11" s="18" t="str">
        <x:v>Entertainment / Security</x:v>
      </x:c>
      <x:c r="G11" s="18" t="str">
        <x:v>Show only when Improvement Area = Technology.</x:v>
      </x:c>
      <x:c r="H11" s="18" t="str">
        <x:v>Required branch</x:v>
      </x:c>
    </x:row>
    <x:row r="12">
      <x:c r="A12" s="18" t="n">
        <x:v>8</x:v>
      </x:c>
      <x:c r="B12" s="18" t="str">
        <x:v>Project Delivery Date</x:v>
      </x:c>
      <x:c r="C12" s="18" t="str">
        <x:v>Yes</x:v>
      </x:c>
      <x:c r="D12" s="18" t="str">
        <x:v>Date</x:v>
      </x:c>
      <x:c r="E12" s="18" t="str">
        <x:v>Target Delivery Date or Due Date</x:v>
      </x:c>
      <x:c r="F12" s="18" t="str">
        <x:v>—</x:v>
      </x:c>
      <x:c r="G12" s="18" t="str">
        <x:v>Use the requested outcome date; PMO validates feasibility.</x:v>
      </x:c>
      <x:c r="H12" s="18" t="str">
        <x:v>Required by discovery</x:v>
      </x:c>
    </x:row>
    <x:row r="13">
      <x:c r="A13" s="18" t="n">
        <x:v>9</x:v>
      </x:c>
      <x:c r="B13" s="18" t="str">
        <x:v>Supporting Data</x:v>
      </x:c>
      <x:c r="C13" s="18" t="str">
        <x:v>Yes</x:v>
      </x:c>
      <x:c r="D13" s="18" t="str">
        <x:v>Attachment</x:v>
      </x:c>
      <x:c r="E13" s="18" t="str">
        <x:v>Task attachment</x:v>
      </x:c>
      <x:c r="F13" s="18" t="str">
        <x:v>—</x:v>
      </x:c>
      <x:c r="G13" s="18" t="str">
        <x:v>Attach a business case, analysis, estimate, evidence, or relevant document.</x:v>
      </x:c>
      <x:c r="H13" s="18" t="str">
        <x:v>Required by discovery</x:v>
      </x:c>
    </x:row>
    <x:row r="14">
      <x:c r="A14" s="18" t="n">
        <x:v>10</x:v>
      </x:c>
      <x:c r="B14" s="18" t="str">
        <x:v>Requester Contact / Team</x:v>
      </x:c>
      <x:c r="C14" s="18" t="str">
        <x:v>Yes</x:v>
      </x:c>
      <x:c r="D14" s="18" t="str">
        <x:v>Short answer</x:v>
      </x:c>
      <x:c r="E14" s="18" t="str">
        <x:v>Requester / department</x:v>
      </x:c>
      <x:c r="F14" s="18" t="str">
        <x:v>—</x:v>
      </x:c>
      <x:c r="G14" s="18" t="str">
        <x:v>Enter the accountable requester and team if not captured automatically.</x:v>
      </x:c>
      <x:c r="H14" s="18" t="str">
        <x:v>Recommended addition</x:v>
      </x:c>
    </x:row>
    <x:row r="15">
      <x:c r="A15" s="18" t="n">
        <x:v>11</x:v>
      </x:c>
      <x:c r="B15" s="18" t="str">
        <x:v>Customer or Operational Impact</x:v>
      </x:c>
      <x:c r="C15" s="18" t="str">
        <x:v>No</x:v>
      </x:c>
      <x:c r="D15" s="18" t="str">
        <x:v>Long answer</x:v>
      </x:c>
      <x:c r="E15" s="18" t="str">
        <x:v>Description / Impact</x:v>
      </x:c>
      <x:c r="F15" s="18" t="str">
        <x:v>—</x:v>
      </x:c>
      <x:c r="G15" s="18" t="str">
        <x:v>Explain who benefits and how success could be measured.</x:v>
      </x:c>
      <x:c r="H15" s="18" t="str">
        <x:v>Recommended addition</x:v>
      </x:c>
    </x:row>
  </x:sheetData>
  <x:mergeCells>
    <x:mergeCell ref="A1:H2"/>
    <x:mergeCell ref="A3:H3"/>
  </x:mergeCells>
  <x:dataValidations count="1">
    <x:dataValidation type="list" sqref="C5:C15">
      <x:formula1>"Yes,No,Yes when shown"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a5f234b64840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7" hidden="0" customWidth="1"/>
    <x:col min="4" max="4" width="27" hidden="0" customWidth="1"/>
    <x:col min="5" max="5" width="58" hidden="0" customWidth="1"/>
    <x:col min="6" max="6" width="18" hidden="0" customWidth="1"/>
    <x:col min="7" max="7" width="16" hidden="0" customWidth="1"/>
    <x:col min="8" max="8" width="36" hidden="0" customWidth="1"/>
  </x:cols>
  <x:sheetData>
    <x:row r="1" ht="34" customHeight="1">
      <x:c r="A1" s="4" t="str">
        <x:v>Project 2 — Automation Rule Register</x:v>
      </x:c>
      <x:c r="B1" s="4" t="str">
        <x:v>Project 2 — Automation Rule Register</x:v>
      </x:c>
      <x:c r="C1" s="4" t="str">
        <x:v>Project 2 — Automation Rule Register</x:v>
      </x:c>
      <x:c r="D1" s="4" t="str">
        <x:v>Project 2 — Automation Rule Register</x:v>
      </x:c>
      <x:c r="E1" s="4" t="str">
        <x:v>Project 2 — Automation Rule Register</x:v>
      </x:c>
      <x:c r="F1" s="4" t="str">
        <x:v>Project 2 — Automation Rule Register</x:v>
      </x:c>
      <x:c r="G1" s="4" t="str">
        <x:v>Project 2 — Automation Rule Register</x:v>
      </x:c>
      <x:c r="H1" s="4" t="str">
        <x:v>Project 2 — Automation Rule Register</x:v>
      </x:c>
    </x:row>
    <x:row r="2" ht="34" customHeight="1">
      <x:c r="A2" s="4" t="str">
        <x:v>Project 2 — Automation Rule Register</x:v>
      </x:c>
      <x:c r="B2" s="4" t="str">
        <x:v>Project 2 — Automation Rule Register</x:v>
      </x:c>
      <x:c r="C2" s="4" t="str">
        <x:v>Project 2 — Automation Rule Register</x:v>
      </x:c>
      <x:c r="D2" s="4" t="str">
        <x:v>Project 2 — Automation Rule Register</x:v>
      </x:c>
      <x:c r="E2" s="4" t="str">
        <x:v>Project 2 — Automation Rule Register</x:v>
      </x:c>
      <x:c r="F2" s="4" t="str">
        <x:v>Project 2 — Automation Rule Register</x:v>
      </x:c>
      <x:c r="G2" s="4" t="str">
        <x:v>Project 2 — Automation Rule Register</x:v>
      </x:c>
      <x:c r="H2" s="4" t="str">
        <x:v>Project 2 — Automation Rule Register</x:v>
      </x:c>
    </x:row>
    <x:row r="3" ht="28" customHeight="1">
      <x:c r="A3" s="8" t="str">
        <x:v>Use clear rule names and test each rule once. The custom-field approach is the baseline; approval-task outcomes may replace decision fields on eligible plans.</x:v>
      </x:c>
      <x:c r="B3" s="8" t="str">
        <x:v>Use clear rule names and test each rule once. The custom-field approach is the baseline; approval-task outcomes may replace decision fields on eligible plans.</x:v>
      </x:c>
      <x:c r="C3" s="8" t="str">
        <x:v>Use clear rule names and test each rule once. The custom-field approach is the baseline; approval-task outcomes may replace decision fields on eligible plans.</x:v>
      </x:c>
      <x:c r="D3" s="8" t="str">
        <x:v>Use clear rule names and test each rule once. The custom-field approach is the baseline; approval-task outcomes may replace decision fields on eligible plans.</x:v>
      </x:c>
      <x:c r="E3" s="8" t="str">
        <x:v>Use clear rule names and test each rule once. The custom-field approach is the baseline; approval-task outcomes may replace decision fields on eligible plans.</x:v>
      </x:c>
      <x:c r="F3" s="8" t="str">
        <x:v>Use clear rule names and test each rule once. The custom-field approach is the baseline; approval-task outcomes may replace decision fields on eligible plans.</x:v>
      </x:c>
      <x:c r="G3" s="8" t="str">
        <x:v>Use clear rule names and test each rule once. The custom-field approach is the baseline; approval-task outcomes may replace decision fields on eligible plans.</x:v>
      </x:c>
      <x:c r="H3" s="8" t="str">
        <x:v>Use clear rule names and test each rule once. The custom-field approach is the baseline; approval-task outcomes may replace decision fields on eligible plans.</x:v>
      </x:c>
    </x:row>
    <x:row r="4" ht="30" customHeight="1">
      <x:c r="A4" s="15" t="str">
        <x:v>Rule ID</x:v>
      </x:c>
      <x:c r="B4" s="15" t="str">
        <x:v>Rule name</x:v>
      </x:c>
      <x:c r="C4" s="15" t="str">
        <x:v>Trigger</x:v>
      </x:c>
      <x:c r="D4" s="15" t="str">
        <x:v>Condition</x:v>
      </x:c>
      <x:c r="E4" s="15" t="str">
        <x:v>Actions</x:v>
      </x:c>
      <x:c r="F4" s="15" t="str">
        <x:v>Owner</x:v>
      </x:c>
      <x:c r="G4" s="15" t="str">
        <x:v>UAT status</x:v>
      </x:c>
      <x:c r="H4" s="15" t="str">
        <x:v>Notes</x:v>
      </x:c>
    </x:row>
    <x:row r="5">
      <x:c r="A5" s="18" t="str">
        <x:v>R01</x:v>
      </x:c>
      <x:c r="B5" s="18" t="str">
        <x:v>New form request → PMO triage</x:v>
      </x:c>
      <x:c r="C5" s="18" t="str">
        <x:v>Task added to New Request</x:v>
      </x:c>
      <x:c r="D5" s="18" t="str">
        <x:v>Created by form</x:v>
      </x:c>
      <x:c r="E5" s="18" t="str">
        <x:v>Assign PMO intake owner; Status = New; set review due date; create acknowledgment subtask.</x:v>
      </x:c>
      <x:c r="F5" s="18" t="str">
        <x:v>PMO</x:v>
      </x:c>
      <x:c r="G5" s="18" t="str">
        <x:v>Not Tested</x:v>
      </x:c>
      <x:c r="H5" s="18" t="str">
        <x:v>Avoid duplicate acknowledgment actions.</x:v>
      </x:c>
    </x:row>
    <x:row r="6">
      <x:c r="A6" s="18" t="str">
        <x:v>R02</x:v>
      </x:c>
      <x:c r="B6" s="18" t="str">
        <x:v>Assigned → reviewer ownership</x:v>
      </x:c>
      <x:c r="C6" s="18" t="str">
        <x:v>Task moves to Assigned</x:v>
      </x:c>
      <x:c r="D6" s="18" t="str">
        <x:v>Task incomplete</x:v>
      </x:c>
      <x:c r="E6" s="18" t="str">
        <x:v>Status = Assigned; assign designated PMO reviewer.</x:v>
      </x:c>
      <x:c r="F6" s="18" t="str">
        <x:v>PMO</x:v>
      </x:c>
      <x:c r="G6" s="18" t="str">
        <x:v>Not Tested</x:v>
      </x:c>
      <x:c r="H6" s="18" t="str">
        <x:v>One accountable assignee.</x:v>
      </x:c>
    </x:row>
    <x:row r="7">
      <x:c r="A7" s="18" t="str">
        <x:v>R03</x:v>
      </x:c>
      <x:c r="B7" s="18" t="str">
        <x:v>Technology request → IT visibility</x:v>
      </x:c>
      <x:c r="C7" s="18" t="str">
        <x:v>Improvement Area changes</x:v>
      </x:c>
      <x:c r="D7" s="18" t="str">
        <x:v>Technology</x:v>
      </x:c>
      <x:c r="E7" s="18" t="str">
        <x:v>Add IT Director/technology reviewer as collaborator.</x:v>
      </x:c>
      <x:c r="F7" s="18" t="str">
        <x:v>PMO</x:v>
      </x:c>
      <x:c r="G7" s="18" t="str">
        <x:v>Not Tested</x:v>
      </x:c>
      <x:c r="H7" s="18" t="str">
        <x:v>Do not replace PMO assignee.</x:v>
      </x:c>
    </x:row>
    <x:row r="8">
      <x:c r="A8" s="18" t="str">
        <x:v>R04</x:v>
      </x:c>
      <x:c r="B8" s="18" t="str">
        <x:v>Operations request → Ops visibility</x:v>
      </x:c>
      <x:c r="C8" s="18" t="str">
        <x:v>Improvement Area changes</x:v>
      </x:c>
      <x:c r="D8" s="18" t="str">
        <x:v>Operations</x:v>
      </x:c>
      <x:c r="E8" s="18" t="str">
        <x:v>Add Operations Manager as collaborator.</x:v>
      </x:c>
      <x:c r="F8" s="18" t="str">
        <x:v>PMO</x:v>
      </x:c>
      <x:c r="G8" s="18" t="str">
        <x:v>Not Tested</x:v>
      </x:c>
      <x:c r="H8" s="18" t="str">
        <x:v>Do not replace PMO assignee.</x:v>
      </x:c>
    </x:row>
    <x:row r="9">
      <x:c r="A9" s="18" t="str">
        <x:v>R05</x:v>
      </x:c>
      <x:c r="B9" s="18" t="str">
        <x:v>In Review → validate alignment</x:v>
      </x:c>
      <x:c r="C9" s="18" t="str">
        <x:v>Task moves to In Review</x:v>
      </x:c>
      <x:c r="D9" s="18" t="str">
        <x:v>Task incomplete</x:v>
      </x:c>
      <x:c r="E9" s="18" t="str">
        <x:v>Status = In Review; create Validate goal alignment subtask.</x:v>
      </x:c>
      <x:c r="F9" s="18" t="str">
        <x:v>PMO</x:v>
      </x:c>
      <x:c r="G9" s="18" t="str">
        <x:v>Not Tested</x:v>
      </x:c>
      <x:c r="H9" s="18" t="str">
        <x:v>Subtask must have assignee and due date.</x:v>
      </x:c>
    </x:row>
    <x:row r="10">
      <x:c r="A10" s="18" t="str">
        <x:v>R06</x:v>
      </x:c>
      <x:c r="B10" s="18" t="str">
        <x:v>Not aligned → rejected</x:v>
      </x:c>
      <x:c r="C10" s="18" t="str">
        <x:v>Goal Alignment changes</x:v>
      </x:c>
      <x:c r="D10" s="18" t="str">
        <x:v>No</x:v>
      </x:c>
      <x:c r="E10" s="18" t="str">
        <x:v>Decision = Rejected; move to Rejected — Closed; create rationale and notification subtask.</x:v>
      </x:c>
      <x:c r="F10" s="18" t="str">
        <x:v>Sponsor / PMO</x:v>
      </x:c>
      <x:c r="G10" s="18" t="str">
        <x:v>Not Tested</x:v>
      </x:c>
      <x:c r="H10" s="18" t="str">
        <x:v>Decision Reason required.</x:v>
      </x:c>
    </x:row>
    <x:row r="11">
      <x:c r="A11" s="18" t="str">
        <x:v>R07</x:v>
      </x:c>
      <x:c r="B11" s="18" t="str">
        <x:v>Aligned → resourcing approval</x:v>
      </x:c>
      <x:c r="C11" s="18" t="str">
        <x:v>Goal Alignment changes</x:v>
      </x:c>
      <x:c r="D11" s="18" t="str">
        <x:v>Yes</x:v>
      </x:c>
      <x:c r="E11" s="18" t="str">
        <x:v>Move to Resourcing Approval; Status = Resourcing Approval; assign accountable approver.</x:v>
      </x:c>
      <x:c r="F11" s="18" t="str">
        <x:v>PMO</x:v>
      </x:c>
      <x:c r="G11" s="18" t="str">
        <x:v>Not Tested</x:v>
      </x:c>
      <x:c r="H11" s="18" t="str">
        <x:v>Use formal approval task if available.</x:v>
      </x:c>
    </x:row>
    <x:row r="12">
      <x:c r="A12" s="18" t="str">
        <x:v>R08</x:v>
      </x:c>
      <x:c r="B12" s="18" t="str">
        <x:v>PM available → approved kickoff</x:v>
      </x:c>
      <x:c r="C12" s="18" t="str">
        <x:v>PM Availability changes</x:v>
      </x:c>
      <x:c r="D12" s="18" t="str">
        <x:v>Yes</x:v>
      </x:c>
      <x:c r="E12" s="18" t="str">
        <x:v>Decision = Approved; move to Approved — Kickoff; create kickoff subtasks.</x:v>
      </x:c>
      <x:c r="F12" s="18" t="str">
        <x:v>Sponsor / PMO</x:v>
      </x:c>
      <x:c r="G12" s="18" t="str">
        <x:v>Not Tested</x:v>
      </x:c>
      <x:c r="H12" s="18" t="str">
        <x:v>Check subtasks are created only once.</x:v>
      </x:c>
    </x:row>
    <x:row r="13">
      <x:c r="A13" s="18" t="str">
        <x:v>R09</x:v>
      </x:c>
      <x:c r="B13" s="18" t="str">
        <x:v>No PM → capacity hold</x:v>
      </x:c>
      <x:c r="C13" s="18" t="str">
        <x:v>PM Availability changes</x:v>
      </x:c>
      <x:c r="D13" s="18" t="str">
        <x:v>No</x:v>
      </x:c>
      <x:c r="E13" s="18" t="str">
        <x:v>Decision = On Hold; move to On Hold — Capacity; create review date and notification subtask.</x:v>
      </x:c>
      <x:c r="F13" s="18" t="str">
        <x:v>PMO</x:v>
      </x:c>
      <x:c r="G13" s="18" t="str">
        <x:v>Not Tested</x:v>
      </x:c>
      <x:c r="H13" s="18" t="str">
        <x:v>Recommended improvement to supplied map.</x:v>
      </x:c>
    </x:row>
    <x:row r="14">
      <x:c r="A14" s="18" t="str">
        <x:v>R10</x:v>
      </x:c>
      <x:c r="B14" s="18" t="str">
        <x:v>Approved → project activation</x:v>
      </x:c>
      <x:c r="C14" s="18" t="str">
        <x:v>Task moves to Approved — Kickoff</x:v>
      </x:c>
      <x:c r="D14" s="18" t="str">
        <x:v>Decision = Approved</x:v>
      </x:c>
      <x:c r="E14" s="18" t="str">
        <x:v>Create Assign PM, Notify requester, Create delivery project, and Schedule kickoff subtasks.</x:v>
      </x:c>
      <x:c r="F14" s="18" t="str">
        <x:v>PMO</x:v>
      </x:c>
      <x:c r="G14" s="18" t="str">
        <x:v>Not Tested</x:v>
      </x:c>
      <x:c r="H14" s="18" t="str">
        <x:v>Assign individual owners after creation.</x:v>
      </x:c>
    </x:row>
    <x:row r="15">
      <x:c r="A15" s="18" t="str">
        <x:v>R11</x:v>
      </x:c>
      <x:c r="B15" s="18" t="str">
        <x:v>Terminal task complete → archive</x:v>
      </x:c>
      <x:c r="C15" s="18" t="str">
        <x:v>Task completed</x:v>
      </x:c>
      <x:c r="D15" s="18" t="str">
        <x:v>Section is terminal</x:v>
      </x:c>
      <x:c r="E15" s="18" t="str">
        <x:v>Move to Completed; Status = Completed.</x:v>
      </x:c>
      <x:c r="F15" s="18" t="str">
        <x:v>PMO</x:v>
      </x:c>
      <x:c r="G15" s="18" t="str">
        <x:v>Not Tested</x:v>
      </x:c>
      <x:c r="H15" s="18" t="str">
        <x:v>Confirm it does not reactivate earlier rules.</x:v>
      </x:c>
    </x:row>
  </x:sheetData>
  <x:mergeCells>
    <x:mergeCell ref="A1:H2"/>
    <x:mergeCell ref="A3:H3"/>
  </x:mergeCells>
  <x:conditionalFormatting sqref="G5:G15">
    <x:cfRule type="expression" dxfId="3" priority="1">
      <x:formula>G5="Pass"</x:formula>
    </x:cfRule>
    <x:cfRule type="expression" dxfId="4" priority="2">
      <x:formula>G5="Fail"</x:formula>
    </x:cfRule>
  </x:conditionalFormatting>
  <x:dataValidations count="1">
    <x:dataValidation type="list" sqref="G5:G15">
      <x:formula1>"Not Tested,Pass,Fail,Retest"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d32d90383f401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42" hidden="0" customWidth="1"/>
    <x:col min="4" max="4" width="56" hidden="0" customWidth="1"/>
    <x:col min="5" max="5" width="56" hidden="0" customWidth="1"/>
    <x:col min="6" max="6" width="16" hidden="0" customWidth="1"/>
    <x:col min="7" max="7" width="16" hidden="0" customWidth="1"/>
    <x:col min="8" max="8" width="14" hidden="0" customWidth="1"/>
    <x:col min="9" max="9" width="34" hidden="0" customWidth="1"/>
  </x:cols>
  <x:sheetData>
    <x:row r="1" ht="34" customHeight="1">
      <x:c r="A1" s="4" t="str">
        <x:v>Project 2 — User Acceptance Testing</x:v>
      </x:c>
      <x:c r="B1" s="4" t="str">
        <x:v>Project 2 — User Acceptance Testing</x:v>
      </x:c>
      <x:c r="C1" s="4" t="str">
        <x:v>Project 2 — User Acceptance Testing</x:v>
      </x:c>
      <x:c r="D1" s="4" t="str">
        <x:v>Project 2 — User Acceptance Testing</x:v>
      </x:c>
      <x:c r="E1" s="4" t="str">
        <x:v>Project 2 — User Acceptance Testing</x:v>
      </x:c>
      <x:c r="F1" s="4" t="str">
        <x:v>Project 2 — User Acceptance Testing</x:v>
      </x:c>
      <x:c r="G1" s="4" t="str">
        <x:v>Project 2 — User Acceptance Testing</x:v>
      </x:c>
      <x:c r="H1" s="4" t="str">
        <x:v>Project 2 — User Acceptance Testing</x:v>
      </x:c>
      <x:c r="I1" s="4" t="str">
        <x:v>Project 2 — User Acceptance Testing</x:v>
      </x:c>
    </x:row>
    <x:row r="2" ht="34" customHeight="1">
      <x:c r="A2" s="4" t="str">
        <x:v>Project 2 — User Acceptance Testing</x:v>
      </x:c>
      <x:c r="B2" s="4" t="str">
        <x:v>Project 2 — User Acceptance Testing</x:v>
      </x:c>
      <x:c r="C2" s="4" t="str">
        <x:v>Project 2 — User Acceptance Testing</x:v>
      </x:c>
      <x:c r="D2" s="4" t="str">
        <x:v>Project 2 — User Acceptance Testing</x:v>
      </x:c>
      <x:c r="E2" s="4" t="str">
        <x:v>Project 2 — User Acceptance Testing</x:v>
      </x:c>
      <x:c r="F2" s="4" t="str">
        <x:v>Project 2 — User Acceptance Testing</x:v>
      </x:c>
      <x:c r="G2" s="4" t="str">
        <x:v>Project 2 — User Acceptance Testing</x:v>
      </x:c>
      <x:c r="H2" s="4" t="str">
        <x:v>Project 2 — User Acceptance Testing</x:v>
      </x:c>
      <x:c r="I2" s="4" t="str">
        <x:v>Project 2 — User Acceptance Testing</x:v>
      </x:c>
    </x:row>
    <x:row r="3" ht="28" customHeight="1">
      <x:c r="A3" s="8" t="str">
        <x:v>Run every scenario in a sample workspace/project before publishing the form and rules. Capture evidence links and retest failed cases.</x:v>
      </x:c>
      <x:c r="B3" s="8" t="str">
        <x:v>Run every scenario in a sample workspace/project before publishing the form and rules. Capture evidence links and retest failed cases.</x:v>
      </x:c>
      <x:c r="C3" s="8" t="str">
        <x:v>Run every scenario in a sample workspace/project before publishing the form and rules. Capture evidence links and retest failed cases.</x:v>
      </x:c>
      <x:c r="D3" s="8" t="str">
        <x:v>Run every scenario in a sample workspace/project before publishing the form and rules. Capture evidence links and retest failed cases.</x:v>
      </x:c>
      <x:c r="E3" s="8" t="str">
        <x:v>Run every scenario in a sample workspace/project before publishing the form and rules. Capture evidence links and retest failed cases.</x:v>
      </x:c>
      <x:c r="F3" s="8" t="str">
        <x:v>Run every scenario in a sample workspace/project before publishing the form and rules. Capture evidence links and retest failed cases.</x:v>
      </x:c>
      <x:c r="G3" s="8" t="str">
        <x:v>Run every scenario in a sample workspace/project before publishing the form and rules. Capture evidence links and retest failed cases.</x:v>
      </x:c>
      <x:c r="H3" s="8" t="str">
        <x:v>Run every scenario in a sample workspace/project before publishing the form and rules. Capture evidence links and retest failed cases.</x:v>
      </x:c>
      <x:c r="I3" s="8" t="str">
        <x:v>Run every scenario in a sample workspace/project before publishing the form and rules. Capture evidence links and retest failed cases.</x:v>
      </x:c>
    </x:row>
    <x:row r="4">
      <x:c r="A4" s="38" t="str">
        <x:v>UAT progress</x:v>
      </x:c>
      <x:c r="B4" s="38" t="n">
        <x:f>COUNTA(A6:A15)</x:f>
        <x:v>10</x:v>
      </x:c>
      <x:c r="C4" s="38" t="n">
        <x:f>COUNTIF(F6:F15,"Pass")</x:f>
        <x:v>0</x:v>
      </x:c>
      <x:c r="D4" s="38" t="n">
        <x:f>COUNTIF(F6:F15,"Fail")</x:f>
        <x:v>0</x:v>
      </x:c>
      <x:c r="E4" s="38" t="n">
        <x:f>COUNTIF(F6:F15,"Not Tested")</x:f>
        <x:v>10</x:v>
      </x:c>
      <x:c r="F4" s="39" t="n">
        <x:f>IF(B4=0,0,C4/B4)</x:f>
        <x:v>0</x:v>
      </x:c>
      <x:c r="G4" s="38"/>
      <x:c r="H4" s="38"/>
      <x:c r="I4" s="38"/>
    </x:row>
    <x:row r="5" ht="30" customHeight="1">
      <x:c r="A5" s="15" t="str">
        <x:v>Test ID</x:v>
      </x:c>
      <x:c r="B5" s="15" t="str">
        <x:v>Scenario</x:v>
      </x:c>
      <x:c r="C5" s="15" t="str">
        <x:v>Steps</x:v>
      </x:c>
      <x:c r="D5" s="15" t="str">
        <x:v>Expected result</x:v>
      </x:c>
      <x:c r="E5" s="15" t="str">
        <x:v>Actual result</x:v>
      </x:c>
      <x:c r="F5" s="15" t="str">
        <x:v>Status</x:v>
      </x:c>
      <x:c r="G5" s="15" t="str">
        <x:v>Tester</x:v>
      </x:c>
      <x:c r="H5" s="15" t="str">
        <x:v>Test date</x:v>
      </x:c>
      <x:c r="I5" s="15" t="str">
        <x:v>Evidence link</x:v>
      </x:c>
    </x:row>
    <x:row r="6">
      <x:c r="A6" s="18" t="str">
        <x:v>UAT01</x:v>
      </x:c>
      <x:c r="B6" s="18" t="str">
        <x:v>Operations → Ground submission</x:v>
      </x:c>
      <x:c r="C6" s="18" t="str">
        <x:v>Submit all required fields and attachment.</x:v>
      </x:c>
      <x:c r="D6" s="18" t="str">
        <x:v>Task in New Request with mapped fields, PMO assignee, review date, and acknowledgment subtask.</x:v>
      </x:c>
      <x:c r="E6" s="18" t="str"/>
      <x:c r="F6" s="18" t="str">
        <x:v>Not Tested</x:v>
      </x:c>
      <x:c r="G6" s="18" t="str"/>
      <x:c r="H6" s="35"/>
      <x:c r="I6" s="18" t="str"/>
    </x:row>
    <x:row r="7">
      <x:c r="A7" s="18" t="str">
        <x:v>UAT02</x:v>
      </x:c>
      <x:c r="B7" s="18" t="str">
        <x:v>Engineering → Software submission</x:v>
      </x:c>
      <x:c r="C7" s="18" t="str">
        <x:v>Submit the Engineering branch.</x:v>
      </x:c>
      <x:c r="D7" s="18" t="str">
        <x:v>Sub-area = Software; request accessible to correct stakeholders.</x:v>
      </x:c>
      <x:c r="E7" s="18" t="str"/>
      <x:c r="F7" s="18" t="str">
        <x:v>Not Tested</x:v>
      </x:c>
      <x:c r="G7" s="18" t="str"/>
      <x:c r="H7" s="35"/>
      <x:c r="I7" s="18" t="str"/>
    </x:row>
    <x:row r="8">
      <x:c r="A8" s="18" t="str">
        <x:v>UAT03</x:v>
      </x:c>
      <x:c r="B8" s="18" t="str">
        <x:v>Technology → Security submission</x:v>
      </x:c>
      <x:c r="C8" s="18" t="str">
        <x:v>Submit the Technology branch.</x:v>
      </x:c>
      <x:c r="D8" s="18" t="str">
        <x:v>Sub-area = Security; IT/security stakeholder added as collaborator.</x:v>
      </x:c>
      <x:c r="E8" s="18" t="str"/>
      <x:c r="F8" s="18" t="str">
        <x:v>Not Tested</x:v>
      </x:c>
      <x:c r="G8" s="18" t="str"/>
      <x:c r="H8" s="35"/>
      <x:c r="I8" s="18" t="str"/>
    </x:row>
    <x:row r="9">
      <x:c r="A9" s="18" t="str">
        <x:v>UAT04</x:v>
      </x:c>
      <x:c r="B9" s="18" t="str">
        <x:v>Goal Alignment = No</x:v>
      </x:c>
      <x:c r="C9" s="18" t="str">
        <x:v>Update the field on a test request.</x:v>
      </x:c>
      <x:c r="D9" s="18" t="str">
        <x:v>Request moves to Rejected — Closed; decision and notification/rationale action created.</x:v>
      </x:c>
      <x:c r="E9" s="18" t="str"/>
      <x:c r="F9" s="18" t="str">
        <x:v>Not Tested</x:v>
      </x:c>
      <x:c r="G9" s="18" t="str"/>
      <x:c r="H9" s="35"/>
      <x:c r="I9" s="18" t="str"/>
    </x:row>
    <x:row r="10">
      <x:c r="A10" s="18" t="str">
        <x:v>UAT05</x:v>
      </x:c>
      <x:c r="B10" s="18" t="str">
        <x:v>Goal Alignment = Yes</x:v>
      </x:c>
      <x:c r="C10" s="18" t="str">
        <x:v>Update the field on a test request.</x:v>
      </x:c>
      <x:c r="D10" s="18" t="str">
        <x:v>Request moves to Resourcing Approval; approver owns next action.</x:v>
      </x:c>
      <x:c r="E10" s="18" t="str"/>
      <x:c r="F10" s="18" t="str">
        <x:v>Not Tested</x:v>
      </x:c>
      <x:c r="G10" s="18" t="str"/>
      <x:c r="H10" s="35"/>
      <x:c r="I10" s="18" t="str"/>
    </x:row>
    <x:row r="11">
      <x:c r="A11" s="18" t="str">
        <x:v>UAT06</x:v>
      </x:c>
      <x:c r="B11" s="18" t="str">
        <x:v>PM Availability = Yes</x:v>
      </x:c>
      <x:c r="C11" s="18" t="str">
        <x:v>Update the field on a test request.</x:v>
      </x:c>
      <x:c r="D11" s="18" t="str">
        <x:v>Request moves to Approved — Kickoff; kickoff subtasks created once.</x:v>
      </x:c>
      <x:c r="E11" s="18" t="str"/>
      <x:c r="F11" s="18" t="str">
        <x:v>Not Tested</x:v>
      </x:c>
      <x:c r="G11" s="18" t="str"/>
      <x:c r="H11" s="35"/>
      <x:c r="I11" s="18" t="str"/>
    </x:row>
    <x:row r="12">
      <x:c r="A12" s="18" t="str">
        <x:v>UAT07</x:v>
      </x:c>
      <x:c r="B12" s="18" t="str">
        <x:v>PM Availability = No</x:v>
      </x:c>
      <x:c r="C12" s="18" t="str">
        <x:v>Update the field on a test request.</x:v>
      </x:c>
      <x:c r="D12" s="18" t="str">
        <x:v>Request moves to On Hold — Capacity with review and notification actions.</x:v>
      </x:c>
      <x:c r="E12" s="18" t="str"/>
      <x:c r="F12" s="18" t="str">
        <x:v>Not Tested</x:v>
      </x:c>
      <x:c r="G12" s="18" t="str"/>
      <x:c r="H12" s="35"/>
      <x:c r="I12" s="18" t="str"/>
    </x:row>
    <x:row r="13">
      <x:c r="A13" s="18" t="str">
        <x:v>UAT08</x:v>
      </x:c>
      <x:c r="B13" s="18" t="str">
        <x:v>Terminal completion</x:v>
      </x:c>
      <x:c r="C13" s="18" t="str">
        <x:v>Complete an approved/rejected/on-hold test request after closure actions.</x:v>
      </x:c>
      <x:c r="D13" s="18" t="str">
        <x:v>Task moves to Completed and does not trigger duplicate earlier actions.</x:v>
      </x:c>
      <x:c r="E13" s="18" t="str"/>
      <x:c r="F13" s="18" t="str">
        <x:v>Not Tested</x:v>
      </x:c>
      <x:c r="G13" s="18" t="str"/>
      <x:c r="H13" s="35"/>
      <x:c r="I13" s="18" t="str"/>
    </x:row>
    <x:row r="14">
      <x:c r="A14" s="18" t="str">
        <x:v>UAT09</x:v>
      </x:c>
      <x:c r="B14" s="18" t="str">
        <x:v>Permissions</x:v>
      </x:c>
      <x:c r="C14" s="18" t="str">
        <x:v>Test as requester, reviewer, approver, and viewer.</x:v>
      </x:c>
      <x:c r="D14" s="18" t="str">
        <x:v>Each role can perform required actions without seeing or editing inappropriate data.</x:v>
      </x:c>
      <x:c r="E14" s="18" t="str"/>
      <x:c r="F14" s="18" t="str">
        <x:v>Not Tested</x:v>
      </x:c>
      <x:c r="G14" s="18" t="str"/>
      <x:c r="H14" s="35"/>
      <x:c r="I14" s="18" t="str"/>
    </x:row>
    <x:row r="15">
      <x:c r="A15" s="18" t="str">
        <x:v>UAT10</x:v>
      </x:c>
      <x:c r="B15" s="18" t="str">
        <x:v>Dashboard accuracy</x:v>
      </x:c>
      <x:c r="C15" s="18" t="str">
        <x:v>Compare chart totals with filtered project records.</x:v>
      </x:c>
      <x:c r="D15" s="18" t="str">
        <x:v>All chart counts and groupings reconcile to the test dataset.</x:v>
      </x:c>
      <x:c r="E15" s="18" t="str"/>
      <x:c r="F15" s="18" t="str">
        <x:v>Not Tested</x:v>
      </x:c>
      <x:c r="G15" s="18" t="str"/>
      <x:c r="H15" s="35"/>
      <x:c r="I15" s="18" t="str"/>
    </x:row>
  </x:sheetData>
  <x:mergeCells>
    <x:mergeCell ref="A1:I2"/>
    <x:mergeCell ref="A3:I3"/>
  </x:mergeCells>
  <x:conditionalFormatting sqref="F6:F15">
    <x:cfRule type="expression" dxfId="5" priority="1">
      <x:formula>F6="Pass"</x:formula>
    </x:cfRule>
    <x:cfRule type="expression" dxfId="6" priority="2">
      <x:formula>F6="Fail"</x:formula>
    </x:cfRule>
  </x:conditionalFormatting>
  <x:dataValidations count="1">
    <x:dataValidation type="list" sqref="F6:F15">
      <x:formula1>"Not Tested,Pass,Fail,Retest"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6ee39aab32495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52" hidden="0" customWidth="1"/>
    <x:col min="5" max="5" width="22" hidden="0" customWidth="1"/>
    <x:col min="6" max="6" width="24" hidden="0" customWidth="1"/>
    <x:col min="7" max="7" width="42" hidden="0" customWidth="1"/>
    <x:col min="8" max="8" width="18" hidden="0" customWidth="1"/>
  </x:cols>
  <x:sheetData>
    <x:row r="1" ht="34" customHeight="1">
      <x:c r="A1" s="4" t="str">
        <x:v>Project 3 — Socialization and Deployment Plan</x:v>
      </x:c>
      <x:c r="B1" s="4" t="str">
        <x:v>Project 3 — Socialization and Deployment Plan</x:v>
      </x:c>
      <x:c r="C1" s="4" t="str">
        <x:v>Project 3 — Socialization and Deployment Plan</x:v>
      </x:c>
      <x:c r="D1" s="4" t="str">
        <x:v>Project 3 — Socialization and Deployment Plan</x:v>
      </x:c>
      <x:c r="E1" s="4" t="str">
        <x:v>Project 3 — Socialization and Deployment Plan</x:v>
      </x:c>
      <x:c r="F1" s="4" t="str">
        <x:v>Project 3 — Socialization and Deployment Plan</x:v>
      </x:c>
      <x:c r="G1" s="4" t="str">
        <x:v>Project 3 — Socialization and Deployment Plan</x:v>
      </x:c>
      <x:c r="H1" s="4" t="str">
        <x:v>Project 3 — Socialization and Deployment Plan</x:v>
      </x:c>
    </x:row>
    <x:row r="2" ht="34" customHeight="1">
      <x:c r="A2" s="4" t="str">
        <x:v>Project 3 — Socialization and Deployment Plan</x:v>
      </x:c>
      <x:c r="B2" s="4" t="str">
        <x:v>Project 3 — Socialization and Deployment Plan</x:v>
      </x:c>
      <x:c r="C2" s="4" t="str">
        <x:v>Project 3 — Socialization and Deployment Plan</x:v>
      </x:c>
      <x:c r="D2" s="4" t="str">
        <x:v>Project 3 — Socialization and Deployment Plan</x:v>
      </x:c>
      <x:c r="E2" s="4" t="str">
        <x:v>Project 3 — Socialization and Deployment Plan</x:v>
      </x:c>
      <x:c r="F2" s="4" t="str">
        <x:v>Project 3 — Socialization and Deployment Plan</x:v>
      </x:c>
      <x:c r="G2" s="4" t="str">
        <x:v>Project 3 — Socialization and Deployment Plan</x:v>
      </x:c>
      <x:c r="H2" s="4" t="str">
        <x:v>Project 3 — Socialization and Deployment Plan</x:v>
      </x:c>
    </x:row>
    <x:row r="3" ht="28" customHeight="1">
      <x:c r="A3" s="8" t="str">
        <x:v>Assumed organizational go-live: 2 September 2026. Keep communication, training, support, and evidence in Asana as assigned work.</x:v>
      </x:c>
      <x:c r="B3" s="8" t="str">
        <x:v>Assumed organizational go-live: 2 September 2026. Keep communication, training, support, and evidence in Asana as assigned work.</x:v>
      </x:c>
      <x:c r="C3" s="8" t="str">
        <x:v>Assumed organizational go-live: 2 September 2026. Keep communication, training, support, and evidence in Asana as assigned work.</x:v>
      </x:c>
      <x:c r="D3" s="8" t="str">
        <x:v>Assumed organizational go-live: 2 September 2026. Keep communication, training, support, and evidence in Asana as assigned work.</x:v>
      </x:c>
      <x:c r="E3" s="8" t="str">
        <x:v>Assumed organizational go-live: 2 September 2026. Keep communication, training, support, and evidence in Asana as assigned work.</x:v>
      </x:c>
      <x:c r="F3" s="8" t="str">
        <x:v>Assumed organizational go-live: 2 September 2026. Keep communication, training, support, and evidence in Asana as assigned work.</x:v>
      </x:c>
      <x:c r="G3" s="8" t="str">
        <x:v>Assumed organizational go-live: 2 September 2026. Keep communication, training, support, and evidence in Asana as assigned work.</x:v>
      </x:c>
      <x:c r="H3" s="8" t="str">
        <x:v>Assumed organizational go-live: 2 September 2026. Keep communication, training, support, and evidence in Asana as assigned work.</x:v>
      </x:c>
    </x:row>
    <x:row r="4" ht="30" customHeight="1">
      <x:c r="A4" s="15" t="str">
        <x:v>Date</x:v>
      </x:c>
      <x:c r="B4" s="15" t="str">
        <x:v>Phase</x:v>
      </x:c>
      <x:c r="C4" s="15" t="str">
        <x:v>Audience</x:v>
      </x:c>
      <x:c r="D4" s="15" t="str">
        <x:v>Activity</x:v>
      </x:c>
      <x:c r="E4" s="15" t="str">
        <x:v>Owner</x:v>
      </x:c>
      <x:c r="F4" s="15" t="str">
        <x:v>Channel</x:v>
      </x:c>
      <x:c r="G4" s="15" t="str">
        <x:v>Evidence / output</x:v>
      </x:c>
      <x:c r="H4" s="15" t="str">
        <x:v>Status</x:v>
      </x:c>
    </x:row>
    <x:row r="5">
      <x:c r="A5" s="35" t="n">
        <x:v>46259</x:v>
      </x:c>
      <x:c r="B5" s="18" t="str">
        <x:v>Validate</x:v>
      </x:c>
      <x:c r="C5" s="18" t="str">
        <x:v>PMO + champions</x:v>
      </x:c>
      <x:c r="D5" s="18" t="str">
        <x:v>Configuration review and UAT kickoff</x:v>
      </x:c>
      <x:c r="E5" s="18" t="str">
        <x:v>David / PMO</x:v>
      </x:c>
      <x:c r="F5" s="18" t="str">
        <x:v>Teams + Asana</x:v>
      </x:c>
      <x:c r="G5" s="18" t="str">
        <x:v>Signed UAT checklist</x:v>
      </x:c>
      <x:c r="H5" s="18" t="str">
        <x:v>Not Started</x:v>
      </x:c>
    </x:row>
    <x:row r="6">
      <x:c r="A6" s="35" t="n">
        <x:v>46260</x:v>
      </x:c>
      <x:c r="B6" s="18" t="str">
        <x:v>Prepare</x:v>
      </x:c>
      <x:c r="C6" s="18" t="str">
        <x:v>Change Network</x:v>
      </x:c>
      <x:c r="D6" s="18" t="str">
        <x:v>Champion briefing and scenario practice</x:v>
      </x:c>
      <x:c r="E6" s="18" t="str">
        <x:v>Mark Thompson</x:v>
      </x:c>
      <x:c r="F6" s="18" t="str">
        <x:v>Live session</x:v>
      </x:c>
      <x:c r="G6" s="18" t="str">
        <x:v>Questions log; champion readiness</x:v>
      </x:c>
      <x:c r="H6" s="18" t="str">
        <x:v>Not Started</x:v>
      </x:c>
    </x:row>
    <x:row r="7">
      <x:c r="A7" s="35" t="n">
        <x:v>46262</x:v>
      </x:c>
      <x:c r="B7" s="18" t="str">
        <x:v>Awareness</x:v>
      </x:c>
      <x:c r="C7" s="18" t="str">
        <x:v>All requesters</x:v>
      </x:c>
      <x:c r="D7" s="18" t="str">
        <x:v>Pre-launch email with why, launch date, and expectations</x:v>
      </x:c>
      <x:c r="E7" s="18" t="str">
        <x:v>Samantha Lewis</x:v>
      </x:c>
      <x:c r="F7" s="18" t="str">
        <x:v>Outlook + intranet</x:v>
      </x:c>
      <x:c r="G7" s="18" t="str">
        <x:v>Published email/post</x:v>
      </x:c>
      <x:c r="H7" s="18" t="str">
        <x:v>Not Started</x:v>
      </x:c>
    </x:row>
    <x:row r="8">
      <x:c r="A8" s="35" t="n">
        <x:v>46265</x:v>
      </x:c>
      <x:c r="B8" s="18" t="str">
        <x:v>Train</x:v>
      </x:c>
      <x:c r="C8" s="18" t="str">
        <x:v>PMO + approvers</x:v>
      </x:c>
      <x:c r="D8" s="18" t="str">
        <x:v>Role-based training and rule walkthrough</x:v>
      </x:c>
      <x:c r="E8" s="18" t="str">
        <x:v>David Smith</x:v>
      </x:c>
      <x:c r="F8" s="18" t="str">
        <x:v>Live workshop</x:v>
      </x:c>
      <x:c r="G8" s="18" t="str">
        <x:v>Attendance; practice tasks</x:v>
      </x:c>
      <x:c r="H8" s="18" t="str">
        <x:v>Not Started</x:v>
      </x:c>
    </x:row>
    <x:row r="9">
      <x:c r="A9" s="35" t="n">
        <x:v>46266</x:v>
      </x:c>
      <x:c r="B9" s="18" t="str">
        <x:v>Support</x:v>
      </x:c>
      <x:c r="C9" s="18" t="str">
        <x:v>All users</x:v>
      </x:c>
      <x:c r="D9" s="18" t="str">
        <x:v>Open Q&amp;A and office hours</x:v>
      </x:c>
      <x:c r="E9" s="18" t="str">
        <x:v>Champions</x:v>
      </x:c>
      <x:c r="F9" s="18" t="str">
        <x:v>Teams</x:v>
      </x:c>
      <x:c r="G9" s="18" t="str">
        <x:v>Updated FAQ</x:v>
      </x:c>
      <x:c r="H9" s="18" t="str">
        <x:v>Not Started</x:v>
      </x:c>
    </x:row>
    <x:row r="10">
      <x:c r="A10" s="35" t="n">
        <x:v>46267</x:v>
      </x:c>
      <x:c r="B10" s="18" t="str">
        <x:v>Launch</x:v>
      </x:c>
      <x:c r="C10" s="18" t="str">
        <x:v>Organization</x:v>
      </x:c>
      <x:c r="D10" s="18" t="str">
        <x:v>Go-live announcement and form link</x:v>
      </x:c>
      <x:c r="E10" s="18" t="str">
        <x:v>Mark Thompson</x:v>
      </x:c>
      <x:c r="F10" s="18" t="str">
        <x:v>Outlook + Teams</x:v>
      </x:c>
      <x:c r="G10" s="18" t="str">
        <x:v>Published workflow</x:v>
      </x:c>
      <x:c r="H10" s="18" t="str">
        <x:v>Not Started</x:v>
      </x:c>
    </x:row>
    <x:row r="11">
      <x:c r="A11" s="35" t="n">
        <x:v>46268</x:v>
      </x:c>
      <x:c r="B11" s="18" t="str">
        <x:v>Hypercare</x:v>
      </x:c>
      <x:c r="C11" s="18" t="str">
        <x:v>Users</x:v>
      </x:c>
      <x:c r="D11" s="18" t="str">
        <x:v>Daily triage through 4 September</x:v>
      </x:c>
      <x:c r="E11" s="18" t="str">
        <x:v>PMO + champions</x:v>
      </x:c>
      <x:c r="F11" s="18" t="str">
        <x:v>Asana + Teams</x:v>
      </x:c>
      <x:c r="G11" s="18" t="str">
        <x:v>Issue log and fixes</x:v>
      </x:c>
      <x:c r="H11" s="18" t="str">
        <x:v>Not Started</x:v>
      </x:c>
    </x:row>
    <x:row r="12">
      <x:c r="A12" s="35" t="n">
        <x:v>46274</x:v>
      </x:c>
      <x:c r="B12" s="18" t="str">
        <x:v>Measure</x:v>
      </x:c>
      <x:c r="C12" s="18" t="str">
        <x:v>Leadership</x:v>
      </x:c>
      <x:c r="D12" s="18" t="str">
        <x:v>Seven-day adoption and SLA review</x:v>
      </x:c>
      <x:c r="E12" s="18" t="str">
        <x:v>Mark Thompson</x:v>
      </x:c>
      <x:c r="F12" s="18" t="str">
        <x:v>Portfolio review</x:v>
      </x:c>
      <x:c r="G12" s="18" t="str">
        <x:v>Dashboard snapshot</x:v>
      </x:c>
      <x:c r="H12" s="18" t="str">
        <x:v>Not Started</x:v>
      </x:c>
    </x:row>
    <x:row r="13">
      <x:c r="A13" s="35" t="n">
        <x:v>46297</x:v>
      </x:c>
      <x:c r="B13" s="18" t="str">
        <x:v>Improve</x:v>
      </x:c>
      <x:c r="C13" s="18" t="str">
        <x:v>Sponsor + PMO</x:v>
      </x:c>
      <x:c r="D13" s="18" t="str">
        <x:v>Thirty-day value and improvement review</x:v>
      </x:c>
      <x:c r="E13" s="18" t="str">
        <x:v>Mark Thompson</x:v>
      </x:c>
      <x:c r="F13" s="18" t="str">
        <x:v>Leadership review</x:v>
      </x:c>
      <x:c r="G13" s="18" t="str">
        <x:v>Baseline/target comparison; improvement backlog</x:v>
      </x:c>
      <x:c r="H13" s="18" t="str">
        <x:v>Not Started</x:v>
      </x:c>
    </x:row>
  </x:sheetData>
  <x:mergeCells>
    <x:mergeCell ref="A1:H2"/>
    <x:mergeCell ref="A3:H3"/>
  </x:mergeCells>
  <x:conditionalFormatting sqref="H5:H13">
    <x:cfRule type="expression" dxfId="7" priority="1">
      <x:formula>H5="Complete"</x:formula>
    </x:cfRule>
    <x:cfRule type="expression" dxfId="8" priority="2">
      <x:formula>H5="Blocked"</x:formula>
    </x:cfRule>
  </x:conditionalFormatting>
  <x:dataValidations count="1">
    <x:dataValidation type="list" sqref="H5:H13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dbfeef27e646b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12" hidden="0" customWidth="1"/>
    <x:col min="4" max="4" width="14" hidden="0" customWidth="1"/>
    <x:col min="5" max="5" width="18" hidden="0" customWidth="1"/>
    <x:col min="6" max="6" width="15" hidden="0" customWidth="1"/>
    <x:col min="7" max="7" width="15" hidden="0" customWidth="1"/>
    <x:col min="8" max="8" width="20" hidden="0" customWidth="1"/>
  </x:cols>
  <x:sheetData>
    <x:row r="1" ht="34" customHeight="1">
      <x:c r="A1" s="4" t="str">
        <x:v>Success Metrics and Baseline Register</x:v>
      </x:c>
      <x:c r="B1" s="4" t="str">
        <x:v>Success Metrics and Baseline Register</x:v>
      </x:c>
      <x:c r="C1" s="4" t="str">
        <x:v>Success Metrics and Baseline Register</x:v>
      </x:c>
      <x:c r="D1" s="4" t="str">
        <x:v>Success Metrics and Baseline Register</x:v>
      </x:c>
      <x:c r="E1" s="4" t="str">
        <x:v>Success Metrics and Baseline Register</x:v>
      </x:c>
      <x:c r="F1" s="4" t="str">
        <x:v>Success Metrics and Baseline Register</x:v>
      </x:c>
      <x:c r="G1" s="4" t="str">
        <x:v>Success Metrics and Baseline Register</x:v>
      </x:c>
      <x:c r="H1" s="4" t="str">
        <x:v>Success Metrics and Baseline Register</x:v>
      </x:c>
    </x:row>
    <x:row r="2" ht="34" customHeight="1">
      <x:c r="A2" s="4" t="str">
        <x:v>Success Metrics and Baseline Register</x:v>
      </x:c>
      <x:c r="B2" s="4" t="str">
        <x:v>Success Metrics and Baseline Register</x:v>
      </x:c>
      <x:c r="C2" s="4" t="str">
        <x:v>Success Metrics and Baseline Register</x:v>
      </x:c>
      <x:c r="D2" s="4" t="str">
        <x:v>Success Metrics and Baseline Register</x:v>
      </x:c>
      <x:c r="E2" s="4" t="str">
        <x:v>Success Metrics and Baseline Register</x:v>
      </x:c>
      <x:c r="F2" s="4" t="str">
        <x:v>Success Metrics and Baseline Register</x:v>
      </x:c>
      <x:c r="G2" s="4" t="str">
        <x:v>Success Metrics and Baseline Register</x:v>
      </x:c>
      <x:c r="H2" s="4" t="str">
        <x:v>Success Metrics and Baseline Register</x:v>
      </x:c>
    </x:row>
    <x:row r="3" ht="28" customHeight="1">
      <x:c r="A3" s="8" t="str">
        <x:v>Enter the first measured baseline and current actual. RAG status calculates against the implementation target; targets are proposed and require sponsor confirmation.</x:v>
      </x:c>
      <x:c r="B3" s="8" t="str">
        <x:v>Enter the first measured baseline and current actual. RAG status calculates against the implementation target; targets are proposed and require sponsor confirmation.</x:v>
      </x:c>
      <x:c r="C3" s="8" t="str">
        <x:v>Enter the first measured baseline and current actual. RAG status calculates against the implementation target; targets are proposed and require sponsor confirmation.</x:v>
      </x:c>
      <x:c r="D3" s="8" t="str">
        <x:v>Enter the first measured baseline and current actual. RAG status calculates against the implementation target; targets are proposed and require sponsor confirmation.</x:v>
      </x:c>
      <x:c r="E3" s="8" t="str">
        <x:v>Enter the first measured baseline and current actual. RAG status calculates against the implementation target; targets are proposed and require sponsor confirmation.</x:v>
      </x:c>
      <x:c r="F3" s="8" t="str">
        <x:v>Enter the first measured baseline and current actual. RAG status calculates against the implementation target; targets are proposed and require sponsor confirmation.</x:v>
      </x:c>
      <x:c r="G3" s="8" t="str">
        <x:v>Enter the first measured baseline and current actual. RAG status calculates against the implementation target; targets are proposed and require sponsor confirmation.</x:v>
      </x:c>
      <x:c r="H3" s="8" t="str">
        <x:v>Enter the first measured baseline and current actual. RAG status calculates against the implementation target; targets are proposed and require sponsor confirmation.</x:v>
      </x:c>
    </x:row>
    <x:row r="4" ht="30" customHeight="1">
      <x:c r="A4" s="15" t="str">
        <x:v>Metric</x:v>
      </x:c>
      <x:c r="B4" s="15" t="str">
        <x:v>Definition</x:v>
      </x:c>
      <x:c r="C4" s="15" t="str">
        <x:v>Direction</x:v>
      </x:c>
      <x:c r="D4" s="15" t="str">
        <x:v>Target</x:v>
      </x:c>
      <x:c r="E4" s="15" t="str">
        <x:v>Unit</x:v>
      </x:c>
      <x:c r="F4" s="15" t="str">
        <x:v>Baseline</x:v>
      </x:c>
      <x:c r="G4" s="15" t="str">
        <x:v>Actual</x:v>
      </x:c>
      <x:c r="H4" s="15" t="str">
        <x:v>RAG status</x:v>
      </x:c>
    </x:row>
    <x:row r="5">
      <x:c r="A5" s="18" t="str">
        <x:v>Complete intake rate</x:v>
      </x:c>
      <x:c r="B5" s="18" t="str">
        <x:v>Requests with every required field and supporting evidence.</x:v>
      </x:c>
      <x:c r="C5" s="18" t="str">
        <x:v>&gt;=</x:v>
      </x:c>
      <x:c r="D5" s="41" t="n">
        <x:v>0.95</x:v>
      </x:c>
      <x:c r="E5" s="18" t="str">
        <x:v>%</x:v>
      </x:c>
      <x:c r="F5" s="41"/>
      <x:c r="G5" s="41"/>
      <x:c r="H5" s="18" t="str">
        <x:f>IF(G5="","Not measured",IF(OR(C5="&gt;=",C5="&gt;"),IF(G5&gt;=D5,"On track","Needs attention"),IF(G5&lt;=D5,"On track","Needs attention")))</x:f>
        <x:v>Not measured</x:v>
      </x:c>
    </x:row>
    <x:row r="6">
      <x:c r="A6" s="18" t="str">
        <x:v>Acknowledgment time</x:v>
      </x:c>
      <x:c r="B6" s="18" t="str">
        <x:v>Business time from submission to PMO ownership.</x:v>
      </x:c>
      <x:c r="C6" s="18" t="str">
        <x:v>&lt;=</x:v>
      </x:c>
      <x:c r="D6" s="40" t="n">
        <x:v>1</x:v>
      </x:c>
      <x:c r="E6" s="18" t="str">
        <x:v>business days</x:v>
      </x:c>
      <x:c r="F6" s="40"/>
      <x:c r="G6" s="40"/>
      <x:c r="H6" s="18" t="str">
        <x:f>IF(G6="","Not measured",IF(OR(C6="&gt;=",C6="&gt;"),IF(G6&gt;=D6,"On track","Needs attention"),IF(G6&lt;=D6,"On track","Needs attention")))</x:f>
        <x:v>Not measured</x:v>
      </x:c>
    </x:row>
    <x:row r="7">
      <x:c r="A7" s="18" t="str">
        <x:v>Decision cycle time</x:v>
      </x:c>
      <x:c r="B7" s="18" t="str">
        <x:v>Business days from submission to approved, on hold, or rejected.</x:v>
      </x:c>
      <x:c r="C7" s="18" t="str">
        <x:v>&lt;=</x:v>
      </x:c>
      <x:c r="D7" s="40" t="n">
        <x:v>5</x:v>
      </x:c>
      <x:c r="E7" s="18" t="str">
        <x:v>business days</x:v>
      </x:c>
      <x:c r="F7" s="40"/>
      <x:c r="G7" s="40"/>
      <x:c r="H7" s="18" t="str">
        <x:f>IF(G7="","Not measured",IF(OR(C7="&gt;=",C7="&gt;"),IF(G7&gt;=D7,"On track","Needs attention"),IF(G7&lt;=D7,"On track","Needs attention")))</x:f>
        <x:v>Not measured</x:v>
      </x:c>
    </x:row>
    <x:row r="8">
      <x:c r="A8" s="18" t="str">
        <x:v>Actionable-work rate</x:v>
      </x:c>
      <x:c r="B8" s="18" t="str">
        <x:v>Active tasks with both assignee and due date.</x:v>
      </x:c>
      <x:c r="C8" s="18" t="str">
        <x:v>&gt;=</x:v>
      </x:c>
      <x:c r="D8" s="41" t="n">
        <x:v>0.95</x:v>
      </x:c>
      <x:c r="E8" s="18" t="str">
        <x:v>%</x:v>
      </x:c>
      <x:c r="F8" s="41"/>
      <x:c r="G8" s="41"/>
      <x:c r="H8" s="18" t="str">
        <x:f>IF(G8="","Not measured",IF(OR(C8="&gt;=",C8="&gt;"),IF(G8&gt;=D8,"On track","Needs attention"),IF(G8&lt;=D8,"On track","Needs attention")))</x:f>
        <x:v>Not measured</x:v>
      </x:c>
    </x:row>
    <x:row r="9">
      <x:c r="A9" s="18" t="str">
        <x:v>On-time completion</x:v>
      </x:c>
      <x:c r="B9" s="18" t="str">
        <x:v>Completed tasks finished by due date.</x:v>
      </x:c>
      <x:c r="C9" s="18" t="str">
        <x:v>&gt;=</x:v>
      </x:c>
      <x:c r="D9" s="41" t="n">
        <x:v>0.85</x:v>
      </x:c>
      <x:c r="E9" s="18" t="str">
        <x:v>%</x:v>
      </x:c>
      <x:c r="F9" s="41"/>
      <x:c r="G9" s="41"/>
      <x:c r="H9" s="18" t="str">
        <x:f>IF(G9="","Not measured",IF(OR(C9="&gt;=",C9="&gt;"),IF(G9&gt;=D9,"On track","Needs attention"),IF(G9&lt;=D9,"On track","Needs attention")))</x:f>
        <x:v>Not measured</x:v>
      </x:c>
    </x:row>
    <x:row r="10">
      <x:c r="A10" s="18" t="str">
        <x:v>Blocked-work age</x:v>
      </x:c>
      <x:c r="B10" s="18" t="str">
        <x:v>Average duration a task remains blocked.</x:v>
      </x:c>
      <x:c r="C10" s="18" t="str">
        <x:v>&lt;</x:v>
      </x:c>
      <x:c r="D10" s="40" t="n">
        <x:v>2</x:v>
      </x:c>
      <x:c r="E10" s="18" t="str">
        <x:v>business days</x:v>
      </x:c>
      <x:c r="F10" s="40"/>
      <x:c r="G10" s="40"/>
      <x:c r="H10" s="18" t="str">
        <x:f>IF(G10="","Not measured",IF(OR(C10="&gt;=",C10="&gt;"),IF(G10&gt;=D10,"On track","Needs attention"),IF(G10&lt;=D10,"On track","Needs attention")))</x:f>
        <x:v>Not measured</x:v>
      </x:c>
    </x:row>
    <x:row r="11">
      <x:c r="A11" s="18" t="str">
        <x:v>Adoption</x:v>
      </x:c>
      <x:c r="B11" s="18" t="str">
        <x:v>Target users completing assigned Asana work weekly after 30 days.</x:v>
      </x:c>
      <x:c r="C11" s="18" t="str">
        <x:v>&gt;=</x:v>
      </x:c>
      <x:c r="D11" s="41" t="n">
        <x:v>0.8</x:v>
      </x:c>
      <x:c r="E11" s="18" t="str">
        <x:v>%</x:v>
      </x:c>
      <x:c r="F11" s="41"/>
      <x:c r="G11" s="41"/>
      <x:c r="H11" s="18" t="str">
        <x:f>IF(G11="","Not measured",IF(OR(C11="&gt;=",C11="&gt;"),IF(G11&gt;=D11,"On track","Needs attention"),IF(G11&lt;=D11,"On track","Needs attention")))</x:f>
        <x:v>Not measured</x:v>
      </x:c>
    </x:row>
  </x:sheetData>
  <x:mergeCells>
    <x:mergeCell ref="A1:H2"/>
    <x:mergeCell ref="A3:H3"/>
  </x:mergeCells>
  <x:conditionalFormatting sqref="H5:H11">
    <x:cfRule type="expression" dxfId="9" priority="1">
      <x:formula>H5="On track"</x:formula>
    </x:cfRule>
    <x:cfRule type="expression" dxfId="10" priority="2">
      <x:formula>H5="Needs attention"</x:formula>
    </x:cfRule>
  </x:conditionalFormatting>
  <x:dataValidations count="1">
    <x:dataValidation type="list" sqref="C5:C11">
      <x:formula1>"&gt;=,&gt;,&lt;=,&lt;"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51aec103b0430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28" hidden="0" customWidth="1"/>
    <x:col min="4" max="4" width="65" hidden="0" customWidth="1"/>
    <x:col min="5" max="5" width="18" hidden="0" customWidth="1"/>
    <x:col min="6" max="6" width="36" hidden="0" customWidth="1"/>
    <x:col min="7" max="7" width="36" hidden="0" customWidth="1"/>
  </x:cols>
  <x:sheetData>
    <x:row r="1" ht="34" customHeight="1">
      <x:c r="A1" s="4" t="str">
        <x:v>Click-by-Click Asana Build Checklist</x:v>
      </x:c>
      <x:c r="B1" s="4" t="str">
        <x:v>Click-by-Click Asana Build Checklist</x:v>
      </x:c>
      <x:c r="C1" s="4" t="str">
        <x:v>Click-by-Click Asana Build Checklist</x:v>
      </x:c>
      <x:c r="D1" s="4" t="str">
        <x:v>Click-by-Click Asana Build Checklist</x:v>
      </x:c>
      <x:c r="E1" s="4" t="str">
        <x:v>Click-by-Click Asana Build Checklist</x:v>
      </x:c>
      <x:c r="F1" s="4" t="str">
        <x:v>Click-by-Click Asana Build Checklist</x:v>
      </x:c>
      <x:c r="G1" s="4" t="str">
        <x:v>Click-by-Click Asana Build Checklist</x:v>
      </x:c>
    </x:row>
    <x:row r="2" ht="34" customHeight="1">
      <x:c r="A2" s="4" t="str">
        <x:v>Click-by-Click Asana Build Checklist</x:v>
      </x:c>
      <x:c r="B2" s="4" t="str">
        <x:v>Click-by-Click Asana Build Checklist</x:v>
      </x:c>
      <x:c r="C2" s="4" t="str">
        <x:v>Click-by-Click Asana Build Checklist</x:v>
      </x:c>
      <x:c r="D2" s="4" t="str">
        <x:v>Click-by-Click Asana Build Checklist</x:v>
      </x:c>
      <x:c r="E2" s="4" t="str">
        <x:v>Click-by-Click Asana Build Checklist</x:v>
      </x:c>
      <x:c r="F2" s="4" t="str">
        <x:v>Click-by-Click Asana Build Checklist</x:v>
      </x:c>
      <x:c r="G2" s="4" t="str">
        <x:v>Click-by-Click Asana Build Checklist</x:v>
      </x:c>
    </x:row>
    <x:row r="3" ht="28" customHeight="1">
      <x:c r="A3" s="8" t="str">
        <x:v>Complete this register while building. Add a screenshot or task link as evidence before marking an item Complete.</x:v>
      </x:c>
      <x:c r="B3" s="8" t="str">
        <x:v>Complete this register while building. Add a screenshot or task link as evidence before marking an item Complete.</x:v>
      </x:c>
      <x:c r="C3" s="8" t="str">
        <x:v>Complete this register while building. Add a screenshot or task link as evidence before marking an item Complete.</x:v>
      </x:c>
      <x:c r="D3" s="8" t="str">
        <x:v>Complete this register while building. Add a screenshot or task link as evidence before marking an item Complete.</x:v>
      </x:c>
      <x:c r="E3" s="8" t="str">
        <x:v>Complete this register while building. Add a screenshot or task link as evidence before marking an item Complete.</x:v>
      </x:c>
      <x:c r="F3" s="8" t="str">
        <x:v>Complete this register while building. Add a screenshot or task link as evidence before marking an item Complete.</x:v>
      </x:c>
      <x:c r="G3" s="8" t="str">
        <x:v>Complete this register while building. Add a screenshot or task link as evidence before marking an item Complete.</x:v>
      </x:c>
    </x:row>
    <x:row r="4" ht="30" customHeight="1">
      <x:c r="A4" s="15" t="str">
        <x:v>Step</x:v>
      </x:c>
      <x:c r="B4" s="15" t="str">
        <x:v>Workflow</x:v>
      </x:c>
      <x:c r="C4" s="15" t="str">
        <x:v>Asana location</x:v>
      </x:c>
      <x:c r="D4" s="15" t="str">
        <x:v>Action</x:v>
      </x:c>
      <x:c r="E4" s="15" t="str">
        <x:v>Status</x:v>
      </x:c>
      <x:c r="F4" s="15" t="str">
        <x:v>Evidence link</x:v>
      </x:c>
      <x:c r="G4" s="15" t="str">
        <x:v>Notes</x:v>
      </x:c>
    </x:row>
    <x:row r="5">
      <x:c r="A5" s="18" t="n">
        <x:v>1</x:v>
      </x:c>
      <x:c r="B5" s="18" t="str">
        <x:v>Foundation</x:v>
      </x:c>
      <x:c r="C5" s="18" t="str">
        <x:v>Goals</x:v>
      </x:c>
      <x:c r="D5" s="18" t="str">
        <x:v>Create or identify the goal: Improve customer experience and delivery reliability.</x:v>
      </x:c>
      <x:c r="E5" s="18" t="str">
        <x:v>Not Started</x:v>
      </x:c>
      <x:c r="F5" s="18" t="str"/>
      <x:c r="G5" s="18" t="str">
        <x:v>Use sponsor-approved progress source.</x:v>
      </x:c>
    </x:row>
    <x:row r="6">
      <x:c r="A6" s="18" t="n">
        <x:v>2</x:v>
      </x:c>
      <x:c r="B6" s="18" t="str">
        <x:v>Foundation</x:v>
      </x:c>
      <x:c r="C6" s="18" t="str">
        <x:v>Portfolios</x:v>
      </x:c>
      <x:c r="D6" s="18" t="str">
        <x:v>Create Customer Experience Transformation portfolio and shared portfolio fields.</x:v>
      </x:c>
      <x:c r="E6" s="18" t="str">
        <x:v>Not Started</x:v>
      </x:c>
      <x:c r="F6" s="18" t="str"/>
      <x:c r="G6" s="18" t="str"/>
    </x:row>
    <x:row r="7">
      <x:c r="A7" s="18" t="n">
        <x:v>3</x:v>
      </x:c>
      <x:c r="B7" s="18" t="str">
        <x:v>P1</x:v>
      </x:c>
      <x:c r="C7" s="18" t="str">
        <x:v>Create → Project</x:v>
      </x:c>
      <x:c r="D7" s="18" t="str">
        <x:v>Create Biometric Boarding &amp; Security Launch as a List project.</x:v>
      </x:c>
      <x:c r="E7" s="18" t="str">
        <x:v>Not Started</x:v>
      </x:c>
      <x:c r="F7" s="18" t="str"/>
      <x:c r="G7" s="18" t="str"/>
    </x:row>
    <x:row r="8">
      <x:c r="A8" s="18" t="n">
        <x:v>4</x:v>
      </x:c>
      <x:c r="B8" s="18" t="str">
        <x:v>P1</x:v>
      </x:c>
      <x:c r="C8" s="18" t="str">
        <x:v>Overview</x:v>
      </x:c>
      <x:c r="D8" s="18" t="str">
        <x:v>Add charter, roles, scope, definition of done, resources, and cadence.</x:v>
      </x:c>
      <x:c r="E8" s="18" t="str">
        <x:v>Not Started</x:v>
      </x:c>
      <x:c r="F8" s="18" t="str"/>
      <x:c r="G8" s="18" t="str"/>
    </x:row>
    <x:row r="9">
      <x:c r="A9" s="18" t="n">
        <x:v>5</x:v>
      </x:c>
      <x:c r="B9" s="18" t="str">
        <x:v>P1</x:v>
      </x:c>
      <x:c r="C9" s="18" t="str">
        <x:v>Import</x:v>
      </x:c>
      <x:c r="D9" s="18" t="str">
        <x:v>Import P1 Asana Import sheet/CSV and map all columns.</x:v>
      </x:c>
      <x:c r="E9" s="18" t="str">
        <x:v>Not Started</x:v>
      </x:c>
      <x:c r="F9" s="18" t="str"/>
      <x:c r="G9" s="18" t="str">
        <x:v>Replace placeholder owners first.</x:v>
      </x:c>
    </x:row>
    <x:row r="10">
      <x:c r="A10" s="18" t="n">
        <x:v>6</x:v>
      </x:c>
      <x:c r="B10" s="18" t="str">
        <x:v>P1</x:v>
      </x:c>
      <x:c r="C10" s="18" t="str">
        <x:v>Customize → Fields</x:v>
      </x:c>
      <x:c r="D10" s="18" t="str">
        <x:v>Reuse/create governed fields and order them in List view.</x:v>
      </x:c>
      <x:c r="E10" s="18" t="str">
        <x:v>Not Started</x:v>
      </x:c>
      <x:c r="F10" s="18" t="str"/>
      <x:c r="G10" s="18" t="str"/>
    </x:row>
    <x:row r="11">
      <x:c r="A11" s="18" t="n">
        <x:v>7</x:v>
      </x:c>
      <x:c r="B11" s="18" t="str">
        <x:v>P1</x:v>
      </x:c>
      <x:c r="C11" s="18" t="str">
        <x:v>Task details</x:v>
      </x:c>
      <x:c r="D11" s="18" t="str">
        <x:v>Mark all Task Type = Milestone rows as milestones.</x:v>
      </x:c>
      <x:c r="E11" s="18" t="str">
        <x:v>Not Started</x:v>
      </x:c>
      <x:c r="F11" s="18" t="str"/>
      <x:c r="G11" s="18" t="str"/>
    </x:row>
    <x:row r="12">
      <x:c r="A12" s="18" t="n">
        <x:v>8</x:v>
      </x:c>
      <x:c r="B12" s="18" t="str">
        <x:v>P1</x:v>
      </x:c>
      <x:c r="C12" s="18" t="str">
        <x:v>Timeline / Gantt</x:v>
      </x:c>
      <x:c r="D12" s="18" t="str">
        <x:v>Create every relationship on P1 Dependencies and resolve date conflicts.</x:v>
      </x:c>
      <x:c r="E12" s="18" t="str">
        <x:v>Not Started</x:v>
      </x:c>
      <x:c r="F12" s="18" t="str"/>
      <x:c r="G12" s="18" t="str"/>
    </x:row>
    <x:row r="13">
      <x:c r="A13" s="18" t="n">
        <x:v>9</x:v>
      </x:c>
      <x:c r="B13" s="18" t="str">
        <x:v>P1</x:v>
      </x:c>
      <x:c r="C13" s="18" t="str">
        <x:v>Customize → Rules</x:v>
      </x:c>
      <x:c r="D13" s="18" t="str">
        <x:v>Build and test status, risk, due-date, testing-stage, and milestone rules.</x:v>
      </x:c>
      <x:c r="E13" s="18" t="str">
        <x:v>Not Started</x:v>
      </x:c>
      <x:c r="F13" s="18" t="str"/>
      <x:c r="G13" s="18" t="str"/>
    </x:row>
    <x:row r="14">
      <x:c r="A14" s="18" t="n">
        <x:v>10</x:v>
      </x:c>
      <x:c r="B14" s="18" t="str">
        <x:v>P1</x:v>
      </x:c>
      <x:c r="C14" s="18" t="str">
        <x:v>Dashboard</x:v>
      </x:c>
      <x:c r="D14" s="18" t="str">
        <x:v>Add status, risk, workstream, overdue, and milestone charts.</x:v>
      </x:c>
      <x:c r="E14" s="18" t="str">
        <x:v>Not Started</x:v>
      </x:c>
      <x:c r="F14" s="18" t="str"/>
      <x:c r="G14" s="18" t="str"/>
    </x:row>
    <x:row r="15">
      <x:c r="A15" s="18" t="n">
        <x:v>11</x:v>
      </x:c>
      <x:c r="B15" s="18" t="str">
        <x:v>P1</x:v>
      </x:c>
      <x:c r="C15" s="18" t="str">
        <x:v>Portfolio / Goal</x:v>
      </x:c>
      <x:c r="D15" s="18" t="str">
        <x:v>Add project to portfolio and connect it to the goal.</x:v>
      </x:c>
      <x:c r="E15" s="18" t="str">
        <x:v>Not Started</x:v>
      </x:c>
      <x:c r="F15" s="18" t="str"/>
      <x:c r="G15" s="18" t="str"/>
    </x:row>
    <x:row r="16">
      <x:c r="A16" s="18" t="n">
        <x:v>12</x:v>
      </x:c>
      <x:c r="B16" s="18" t="str">
        <x:v>P2</x:v>
      </x:c>
      <x:c r="C16" s="18" t="str">
        <x:v>Create → Project</x:v>
      </x:c>
      <x:c r="D16" s="18" t="str">
        <x:v>Create Project Request &amp; Approval as a Board project with eight sections.</x:v>
      </x:c>
      <x:c r="E16" s="18" t="str">
        <x:v>Not Started</x:v>
      </x:c>
      <x:c r="F16" s="18" t="str"/>
      <x:c r="G16" s="18" t="str"/>
    </x:row>
    <x:row r="17">
      <x:c r="A17" s="18" t="n">
        <x:v>13</x:v>
      </x:c>
      <x:c r="B17" s="18" t="str">
        <x:v>P2</x:v>
      </x:c>
      <x:c r="C17" s="18" t="str">
        <x:v>Customize → Fields</x:v>
      </x:c>
      <x:c r="D17" s="18" t="str">
        <x:v>Create/reuse form, scoping, alignment, availability, and decision fields.</x:v>
      </x:c>
      <x:c r="E17" s="18" t="str">
        <x:v>Not Started</x:v>
      </x:c>
      <x:c r="F17" s="18" t="str"/>
      <x:c r="G17" s="18" t="str"/>
    </x:row>
    <x:row r="18">
      <x:c r="A18" s="18" t="n">
        <x:v>14</x:v>
      </x:c>
      <x:c r="B18" s="18" t="str">
        <x:v>P2</x:v>
      </x:c>
      <x:c r="C18" s="18" t="str">
        <x:v>Customize → Forms</x:v>
      </x:c>
      <x:c r="D18" s="18" t="str">
        <x:v>Build form, branches, mappings, default assignee/section, and confirmation.</x:v>
      </x:c>
      <x:c r="E18" s="18" t="str">
        <x:v>Not Started</x:v>
      </x:c>
      <x:c r="F18" s="18" t="str"/>
      <x:c r="G18" s="18" t="str"/>
    </x:row>
    <x:row r="19">
      <x:c r="A19" s="18" t="n">
        <x:v>15</x:v>
      </x:c>
      <x:c r="B19" s="18" t="str">
        <x:v>P2</x:v>
      </x:c>
      <x:c r="C19" s="18" t="str">
        <x:v>Customize → Rules</x:v>
      </x:c>
      <x:c r="D19" s="18" t="str">
        <x:v>Build R01–R11 and test each against the rule register.</x:v>
      </x:c>
      <x:c r="E19" s="18" t="str">
        <x:v>Not Started</x:v>
      </x:c>
      <x:c r="F19" s="18" t="str"/>
      <x:c r="G19" s="18" t="str"/>
    </x:row>
    <x:row r="20">
      <x:c r="A20" s="18" t="n">
        <x:v>16</x:v>
      </x:c>
      <x:c r="B20" s="18" t="str">
        <x:v>P2</x:v>
      </x:c>
      <x:c r="C20" s="18" t="str">
        <x:v>Approvals / fallback</x:v>
      </x:c>
      <x:c r="D20" s="18" t="str">
        <x:v>Configure formal approval tasks or the decision-field fallback.</x:v>
      </x:c>
      <x:c r="E20" s="18" t="str">
        <x:v>Not Started</x:v>
      </x:c>
      <x:c r="F20" s="18" t="str"/>
      <x:c r="G20" s="18" t="str"/>
    </x:row>
    <x:row r="21">
      <x:c r="A21" s="18" t="n">
        <x:v>17</x:v>
      </x:c>
      <x:c r="B21" s="18" t="str">
        <x:v>P2</x:v>
      </x:c>
      <x:c r="C21" s="18" t="str">
        <x:v>Dashboard</x:v>
      </x:c>
      <x:c r="D21" s="18" t="str">
        <x:v>Add volume, status, decision, aging, priority, and size charts.</x:v>
      </x:c>
      <x:c r="E21" s="18" t="str">
        <x:v>Not Started</x:v>
      </x:c>
      <x:c r="F21" s="18" t="str"/>
      <x:c r="G21" s="18" t="str"/>
    </x:row>
    <x:row r="22">
      <x:c r="A22" s="18" t="n">
        <x:v>18</x:v>
      </x:c>
      <x:c r="B22" s="18" t="str">
        <x:v>P2</x:v>
      </x:c>
      <x:c r="C22" s="18" t="str">
        <x:v>Portfolio / Goal</x:v>
      </x:c>
      <x:c r="D22" s="18" t="str">
        <x:v>Add intake project to portfolio and define how accepted projects connect to the goal.</x:v>
      </x:c>
      <x:c r="E22" s="18" t="str">
        <x:v>Not Started</x:v>
      </x:c>
      <x:c r="F22" s="18" t="str"/>
      <x:c r="G22" s="18" t="str"/>
    </x:row>
    <x:row r="23">
      <x:c r="A23" s="18" t="n">
        <x:v>19</x:v>
      </x:c>
      <x:c r="B23" s="18" t="str">
        <x:v>UAT</x:v>
      </x:c>
      <x:c r="C23" s="18" t="str">
        <x:v>Sample project</x:v>
      </x:c>
      <x:c r="D23" s="18" t="str">
        <x:v>Run UAT01–UAT10; fix and retest failures.</x:v>
      </x:c>
      <x:c r="E23" s="18" t="str">
        <x:v>Not Started</x:v>
      </x:c>
      <x:c r="F23" s="18" t="str"/>
      <x:c r="G23" s="18" t="str"/>
    </x:row>
    <x:row r="24">
      <x:c r="A24" s="18" t="n">
        <x:v>20</x:v>
      </x:c>
      <x:c r="B24" s="18" t="str">
        <x:v>Deployment</x:v>
      </x:c>
      <x:c r="C24" s="18" t="str">
        <x:v>Asana Adoption &amp; Enablement</x:v>
      </x:c>
      <x:c r="D24" s="18" t="str">
        <x:v>Create communication, training, go-live, hypercare, and review tasks.</x:v>
      </x:c>
      <x:c r="E24" s="18" t="str">
        <x:v>Not Started</x:v>
      </x:c>
      <x:c r="F24" s="18" t="str"/>
      <x:c r="G24" s="18" t="str"/>
    </x:row>
    <x:row r="25">
      <x:c r="A25" s="18" t="n">
        <x:v>21</x:v>
      </x:c>
      <x:c r="B25" s="18" t="str">
        <x:v>Portfolio evidence</x:v>
      </x:c>
      <x:c r="C25" s="18" t="str">
        <x:v>Views / dashboards</x:v>
      </x:c>
      <x:c r="D25" s="18" t="str">
        <x:v>Capture all 12 recommended screenshots with no confidential data.</x:v>
      </x:c>
      <x:c r="E25" s="18" t="str">
        <x:v>Not Started</x:v>
      </x:c>
      <x:c r="F25" s="18" t="str"/>
      <x:c r="G25" s="18" t="str"/>
    </x:row>
  </x:sheetData>
  <x:mergeCells>
    <x:mergeCell ref="A1:G2"/>
    <x:mergeCell ref="A3:G3"/>
  </x:mergeCells>
  <x:conditionalFormatting sqref="E5:E25">
    <x:cfRule type="expression" dxfId="11" priority="1">
      <x:formula>E5="Complete"</x:formula>
    </x:cfRule>
    <x:cfRule type="expression" dxfId="12" priority="2">
      <x:formula>E5="Blocked"</x:formula>
    </x:cfRule>
  </x:conditionalFormatting>
  <x:dataValidations count="1">
    <x:dataValidation type="list" sqref="E5:E25">
      <x:formula1>"Not Started,In Progress,Blocked,Complete"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979701e9b44daf"/>
  </x:tableParts>
</x:worksheet>
</file>